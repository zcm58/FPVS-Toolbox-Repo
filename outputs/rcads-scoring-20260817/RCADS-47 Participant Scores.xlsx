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1c8f3f1e4348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CADS Scores" sheetId="1" r:id="Rd3015fc3837f454c"/>
    <x:sheet xmlns:r="http://schemas.openxmlformats.org/officeDocument/2006/relationships" name="Item Scores" sheetId="2" r:id="R89a657956c874fbe"/>
    <x:sheet xmlns:r="http://schemas.openxmlformats.org/officeDocument/2006/relationships" name="Scoring Key" sheetId="3" r:id="R286c05f14b1345c2"/>
    <x:sheet xmlns:r="http://schemas.openxmlformats.org/officeDocument/2006/relationships" name="Norm Tables" sheetId="4" r:id="R90862c1d792447a5"/>
    <x:sheet xmlns:r="http://schemas.openxmlformats.org/officeDocument/2006/relationships" name="QC" sheetId="5" r:id="R3a01eca64bcd4c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Arial"/>
    </x:font>
    <x:font>
      <x:i/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b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62626"/>
      </x:patternFill>
    </x:fill>
    <x:fill>
      <x:patternFill patternType="solid">
        <x:fgColor rgb="FFE7E6E6"/>
      </x:patternFill>
    </x:fill>
    <x:fill>
      <x:patternFill patternType="solid">
        <x:fgColor rgb="FF3F3F3F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</x:fills>
  <x:borders count="8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medium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medium">
        <x:color rgb="FFBFBFBF"/>
      </x:left>
      <x:right style="thin">
        <x:color rgb="FFBFBFBF"/>
      </x:right>
    </x:border>
    <x:border>
      <x:left style="medium">
        <x:color rgb="FFBFBFBF"/>
      </x:left>
      <x:right style="thin">
        <x:color rgb="FFBFBFBF"/>
      </x:right>
      <x:bottom style="thin">
        <x:color rgb="FFBFBFBF"/>
      </x:bottom>
    </x:border>
    <x:border>
      <x:left style="thin">
        <x:color rgb="FFBFBFBF"/>
      </x:left>
      <x:right style="thin">
        <x:color rgb="FFBFBFBF"/>
      </x:right>
    </x:border>
    <x:border>
      <x:left style="thin">
        <x:color rgb="FFBFBFBF"/>
      </x:left>
      <x:right style="thin">
        <x:color rgb="FFBFBFBF"/>
      </x:right>
      <x:bottom style="thin">
        <x:color rgb="FFBFBFB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right" vertical="center"/>
    </x:xf>
    <x:xf numFmtId="0" fontId="4" fillId="6" borderId="0" xfId="0" applyNumberFormat="1" applyFont="1" applyFill="1" applyBorder="1" applyAlignment="1">
      <x:alignment horizontal="right" vertical="center"/>
    </x:xf>
    <x:xf numFmtId="0" fontId="4" fillId="5" borderId="0" xfId="0" applyNumberFormat="1" applyFont="1" applyFill="1" applyBorder="1" applyAlignment="1">
      <x:alignment horizontal="left" vertical="center"/>
    </x:xf>
    <x:xf numFmtId="0" fontId="4" fillId="6" borderId="0" xfId="0" applyNumberFormat="1" applyFont="1" applyFill="1" applyBorder="1" applyAlignment="1">
      <x:alignment horizontal="left" vertical="center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right" vertical="center"/>
    </x:xf>
    <x:xf numFmtId="0" fontId="4" fillId="6" borderId="3" xfId="0" applyNumberFormat="1" applyFont="1" applyFill="1" applyBorder="1" applyAlignment="1">
      <x:alignment horizontal="right" vertical="center"/>
    </x:xf>
    <x:xf numFmtId="0" fontId="4" fillId="6" borderId="4" xfId="0" applyNumberFormat="1" applyFont="1" applyFill="1" applyBorder="1" applyAlignment="1">
      <x:alignment horizontal="right" vertical="center"/>
    </x:xf>
    <x:xf numFmtId="0" fontId="4" fillId="5" borderId="5" xfId="0" applyNumberFormat="1" applyFont="1" applyFill="1" applyBorder="1" applyAlignment="1">
      <x:alignment horizontal="left" vertical="center"/>
    </x:xf>
    <x:xf numFmtId="0" fontId="4" fillId="6" borderId="5" xfId="0" applyNumberFormat="1" applyFont="1" applyFill="1" applyBorder="1" applyAlignment="1">
      <x:alignment horizontal="left" vertical="center"/>
    </x:xf>
    <x:xf numFmtId="0" fontId="4" fillId="6" borderId="6" xfId="0" applyNumberFormat="1" applyFont="1" applyFill="1" applyBorder="1" applyAlignment="1">
      <x:alignment horizontal="left" vertical="center"/>
    </x:xf>
    <x:xf numFmtId="200" fontId="4" fillId="5" borderId="0" xfId="0" applyNumberFormat="1" applyFont="1" applyFill="1" applyBorder="1" applyAlignment="1">
      <x:alignment horizontal="center" vertical="center"/>
    </x:xf>
    <x:xf numFmtId="200" fontId="4" fillId="6" borderId="0" xfId="0" applyNumberFormat="1" applyFont="1" applyFill="1" applyBorder="1" applyAlignment="1">
      <x:alignment horizontal="center" vertical="center"/>
    </x:xf>
    <x:xf numFmtId="200" fontId="4" fillId="5" borderId="0" xfId="0" applyNumberFormat="1" applyFont="1" applyFill="1" applyBorder="1" applyAlignment="1">
      <x:alignment horizontal="right" vertical="center"/>
    </x:xf>
    <x:xf numFmtId="200" fontId="4" fillId="5" borderId="3" xfId="0" applyNumberFormat="1" applyFont="1" applyFill="1" applyBorder="1" applyAlignment="1">
      <x:alignment horizontal="right" vertical="center"/>
    </x:xf>
    <x:xf numFmtId="200" fontId="4" fillId="6" borderId="0" xfId="0" applyNumberFormat="1" applyFont="1" applyFill="1" applyBorder="1" applyAlignment="1">
      <x:alignment horizontal="right" vertical="center"/>
    </x:xf>
    <x:xf numFmtId="200" fontId="4" fillId="6" borderId="3" xfId="0" applyNumberFormat="1" applyFont="1" applyFill="1" applyBorder="1" applyAlignment="1">
      <x:alignment horizontal="right" vertical="center"/>
    </x:xf>
    <x:xf numFmtId="200" fontId="4" fillId="6" borderId="4" xfId="0" applyNumberFormat="1" applyFont="1" applyFill="1" applyBorder="1" applyAlignment="1">
      <x:alignment horizontal="right" vertical="center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4" fillId="6" borderId="7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1F1F1F"/>
      </x:font>
      <x:fill>
        <x:patternFill patternType="solid">
          <x:bgColor rgb="FFFFF2CC"/>
        </x:patternFill>
      </x:fill>
    </x:dxf>
    <x:dxf>
      <x:font>
        <x:b/>
        <x:color rgb="FF1F1F1F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bbd3993a514de8" /><Relationship Type="http://schemas.openxmlformats.org/officeDocument/2006/relationships/theme" Target="/xl/theme/theme1.xml" Id="Ra776488923ed4f11" /><Relationship Type="http://schemas.openxmlformats.org/officeDocument/2006/relationships/sharedStrings" Target="/xl/sharedStrings.xml" Id="R278082d2910b4140" /><Relationship Type="http://schemas.openxmlformats.org/officeDocument/2006/relationships/worksheet" Target="/xl/worksheets/sheet1.xml" Id="Rd3015fc3837f454c" /><Relationship Type="http://schemas.openxmlformats.org/officeDocument/2006/relationships/worksheet" Target="/xl/worksheets/sheet2.xml" Id="R89a657956c874fbe" /><Relationship Type="http://schemas.openxmlformats.org/officeDocument/2006/relationships/worksheet" Target="/xl/worksheets/sheet3.xml" Id="R286c05f14b1345c2" /><Relationship Type="http://schemas.openxmlformats.org/officeDocument/2006/relationships/worksheet" Target="/xl/worksheets/sheet4.xml" Id="R90862c1d792447a5" /><Relationship Type="http://schemas.openxmlformats.org/officeDocument/2006/relationships/worksheet" Target="/xl/worksheets/sheet5.xml" Id="R3a01eca64bcd4c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10" hidden="0" customWidth="1"/>
    <x:col min="4" max="4" width="18" hidden="0" customWidth="1"/>
    <x:col min="5" max="5" width="18" hidden="0" customWidth="1"/>
    <x:col min="6" max="6" width="19" hidden="0" customWidth="1"/>
    <x:col min="7" max="7" width="20" hidden="0" customWidth="1"/>
    <x:col min="8" max="8" width="20" hidden="0" customWidth="1"/>
    <x:col min="9" max="9" width="22" hidden="0" customWidth="1"/>
    <x:col min="10" max="10" width="17" hidden="0" customWidth="1"/>
    <x:col min="11" max="11" width="17" hidden="0" customWidth="1"/>
    <x:col min="12" max="12" width="18" hidden="0" customWidth="1"/>
    <x:col min="13" max="13" width="19" hidden="0" customWidth="1"/>
    <x:col min="14" max="14" width="19" hidden="0" customWidth="1"/>
    <x:col min="15" max="15" width="21" hidden="0" customWidth="1"/>
    <x:col min="16" max="16" width="15" hidden="0" customWidth="1"/>
    <x:col min="17" max="17" width="12" hidden="0" customWidth="1"/>
    <x:col min="18" max="18" width="17" hidden="0" customWidth="1"/>
    <x:col min="19" max="19" width="58" hidden="0" customWidth="1"/>
  </x:cols>
  <x:sheetData>
    <x:row r="1" ht="30" customHeight="1">
      <x:c r="A1" s="4" t="str">
        <x:v>RCADS-47 Participant Subscale Scores</x:v>
      </x:c>
      <x:c r="B1" s="4" t="str">
        <x:v>RCADS-47 Participant Subscale Scores</x:v>
      </x:c>
      <x:c r="C1" s="4" t="str">
        <x:v>RCADS-47 Participant Subscale Scores</x:v>
      </x:c>
      <x:c r="D1" s="4" t="str">
        <x:v>RCADS-47 Participant Subscale Scores</x:v>
      </x:c>
      <x:c r="E1" s="4" t="str">
        <x:v>RCADS-47 Participant Subscale Scores</x:v>
      </x:c>
      <x:c r="F1" s="4" t="str">
        <x:v>RCADS-47 Participant Subscale Scores</x:v>
      </x:c>
      <x:c r="G1" s="4" t="str">
        <x:v>RCADS-47 Participant Subscale Scores</x:v>
      </x:c>
      <x:c r="H1" s="4" t="str">
        <x:v>RCADS-47 Participant Subscale Scores</x:v>
      </x:c>
      <x:c r="I1" s="4" t="str">
        <x:v>RCADS-47 Participant Subscale Scores</x:v>
      </x:c>
      <x:c r="J1" s="4" t="str">
        <x:v>RCADS-47 Participant Subscale Scores</x:v>
      </x:c>
      <x:c r="K1" s="4" t="str">
        <x:v>RCADS-47 Participant Subscale Scores</x:v>
      </x:c>
      <x:c r="L1" s="4" t="str">
        <x:v>RCADS-47 Participant Subscale Scores</x:v>
      </x:c>
      <x:c r="M1" s="4" t="str">
        <x:v>RCADS-47 Participant Subscale Scores</x:v>
      </x:c>
      <x:c r="N1" s="4" t="str">
        <x:v>RCADS-47 Participant Subscale Scores</x:v>
      </x:c>
      <x:c r="O1" s="4" t="str">
        <x:v>RCADS-47 Participant Subscale Scores</x:v>
      </x:c>
      <x:c r="P1" s="4" t="str">
        <x:v>RCADS-47 Participant Subscale Scores</x:v>
      </x:c>
      <x:c r="Q1" s="4" t="str">
        <x:v>RCADS-47 Participant Subscale Scores</x:v>
      </x:c>
      <x:c r="R1" s="4" t="str">
        <x:v>RCADS-47 Participant Subscale Scores</x:v>
      </x:c>
      <x:c r="S1" s="4" t="str">
        <x:v>RCADS-47 Participant Subscale Scores</x:v>
      </x:c>
    </x:row>
    <x:row r="2" ht="34" customHeight="1">
      <x:c r="A2" s="8" t="str">
        <x:v>Raw scores are calculated from the 47-item youth RCADS. T-scores use U.S. child norms by sex and estimated grade (age minus 6). Blank T-scores indicate unavailable demographics.</x:v>
      </x:c>
      <x:c r="B2" s="8" t="str">
        <x:v>Raw scores are calculated from the 47-item youth RCADS. T-scores use U.S. child norms by sex and estimated grade (age minus 6). Blank T-scores indicate unavailable demographics.</x:v>
      </x:c>
      <x:c r="C2" s="8" t="str">
        <x:v>Raw scores are calculated from the 47-item youth RCADS. T-scores use U.S. child norms by sex and estimated grade (age minus 6). Blank T-scores indicate unavailable demographics.</x:v>
      </x:c>
      <x:c r="D2" s="8" t="str">
        <x:v>Raw scores are calculated from the 47-item youth RCADS. T-scores use U.S. child norms by sex and estimated grade (age minus 6). Blank T-scores indicate unavailable demographics.</x:v>
      </x:c>
      <x:c r="E2" s="8" t="str">
        <x:v>Raw scores are calculated from the 47-item youth RCADS. T-scores use U.S. child norms by sex and estimated grade (age minus 6). Blank T-scores indicate unavailable demographics.</x:v>
      </x:c>
      <x:c r="F2" s="8" t="str">
        <x:v>Raw scores are calculated from the 47-item youth RCADS. T-scores use U.S. child norms by sex and estimated grade (age minus 6). Blank T-scores indicate unavailable demographics.</x:v>
      </x:c>
      <x:c r="G2" s="8" t="str">
        <x:v>Raw scores are calculated from the 47-item youth RCADS. T-scores use U.S. child norms by sex and estimated grade (age minus 6). Blank T-scores indicate unavailable demographics.</x:v>
      </x:c>
      <x:c r="H2" s="8" t="str">
        <x:v>Raw scores are calculated from the 47-item youth RCADS. T-scores use U.S. child norms by sex and estimated grade (age minus 6). Blank T-scores indicate unavailable demographics.</x:v>
      </x:c>
      <x:c r="I2" s="8" t="str">
        <x:v>Raw scores are calculated from the 47-item youth RCADS. T-scores use U.S. child norms by sex and estimated grade (age minus 6). Blank T-scores indicate unavailable demographics.</x:v>
      </x:c>
      <x:c r="J2" s="8" t="str">
        <x:v>Raw scores are calculated from the 47-item youth RCADS. T-scores use U.S. child norms by sex and estimated grade (age minus 6). Blank T-scores indicate unavailable demographics.</x:v>
      </x:c>
      <x:c r="K2" s="8" t="str">
        <x:v>Raw scores are calculated from the 47-item youth RCADS. T-scores use U.S. child norms by sex and estimated grade (age minus 6). Blank T-scores indicate unavailable demographics.</x:v>
      </x:c>
      <x:c r="L2" s="8" t="str">
        <x:v>Raw scores are calculated from the 47-item youth RCADS. T-scores use U.S. child norms by sex and estimated grade (age minus 6). Blank T-scores indicate unavailable demographics.</x:v>
      </x:c>
      <x:c r="M2" s="8" t="str">
        <x:v>Raw scores are calculated from the 47-item youth RCADS. T-scores use U.S. child norms by sex and estimated grade (age minus 6). Blank T-scores indicate unavailable demographics.</x:v>
      </x:c>
      <x:c r="N2" s="8" t="str">
        <x:v>Raw scores are calculated from the 47-item youth RCADS. T-scores use U.S. child norms by sex and estimated grade (age minus 6). Blank T-scores indicate unavailable demographics.</x:v>
      </x:c>
      <x:c r="O2" s="8" t="str">
        <x:v>Raw scores are calculated from the 47-item youth RCADS. T-scores use U.S. child norms by sex and estimated grade (age minus 6). Blank T-scores indicate unavailable demographics.</x:v>
      </x:c>
      <x:c r="P2" s="8" t="str">
        <x:v>Raw scores are calculated from the 47-item youth RCADS. T-scores use U.S. child norms by sex and estimated grade (age minus 6). Blank T-scores indicate unavailable demographics.</x:v>
      </x:c>
      <x:c r="Q2" s="8" t="str">
        <x:v>Raw scores are calculated from the 47-item youth RCADS. T-scores use U.S. child norms by sex and estimated grade (age minus 6). Blank T-scores indicate unavailable demographics.</x:v>
      </x:c>
      <x:c r="R2" s="8" t="str">
        <x:v>Raw scores are calculated from the 47-item youth RCADS. T-scores use U.S. child norms by sex and estimated grade (age minus 6). Blank T-scores indicate unavailable demographics.</x:v>
      </x:c>
      <x:c r="S2" s="8" t="str">
        <x:v>Raw scores are calculated from the 47-item youth RCADS. T-scores use U.S. child norms by sex and estimated grade (age minus 6). Blank T-scores indicate unavailable demographics.</x:v>
      </x:c>
    </x:row>
    <x:row r="4" ht="50" customHeight="1">
      <x:c r="A4" s="14" t="str">
        <x:v>PID</x:v>
      </x:c>
      <x:c r="B4" s="14" t="str">
        <x:v>Age</x:v>
      </x:c>
      <x:c r="C4" s="14" t="str">
        <x:v>Sex</x:v>
      </x:c>
      <x:c r="D4" s="14" t="str">
        <x:v>Social Phobia Raw</x:v>
      </x:c>
      <x:c r="E4" s="14" t="str">
        <x:v>Panic Disorder Raw</x:v>
      </x:c>
      <x:c r="F4" s="14" t="str">
        <x:v>Major Depression Raw</x:v>
      </x:c>
      <x:c r="G4" s="14" t="str">
        <x:v>Separation Anxiety Raw</x:v>
      </x:c>
      <x:c r="H4" s="14" t="str">
        <x:v>Generalized Anxiety Raw</x:v>
      </x:c>
      <x:c r="I4" s="14" t="str">
        <x:v>Obsessive Compulsive Raw</x:v>
      </x:c>
      <x:c r="J4" s="27" t="str">
        <x:v>Social Phobia T</x:v>
      </x:c>
      <x:c r="K4" s="14" t="str">
        <x:v>Panic Disorder T</x:v>
      </x:c>
      <x:c r="L4" s="14" t="str">
        <x:v>Major Depression T</x:v>
      </x:c>
      <x:c r="M4" s="14" t="str">
        <x:v>Separation Anxiety T</x:v>
      </x:c>
      <x:c r="N4" s="14" t="str">
        <x:v>Generalized Anxiety T</x:v>
      </x:c>
      <x:c r="O4" s="14" t="str">
        <x:v>Obsessive Compulsive T</x:v>
      </x:c>
      <x:c r="P4" s="27" t="str">
        <x:v>Estimated Grade</x:v>
      </x:c>
      <x:c r="Q4" s="14" t="str">
        <x:v>Norm Band</x:v>
      </x:c>
      <x:c r="R4" s="14" t="str">
        <x:v>Missing RCADS Items</x:v>
      </x:c>
      <x:c r="S4" s="14" t="str">
        <x:v>QC Note</x:v>
      </x:c>
    </x:row>
    <x:row r="5">
      <x:c r="A5" s="21" t="str">
        <x:v>P1</x:v>
      </x:c>
      <x:c r="B5" s="34" t="n">
        <x:v>15</x:v>
      </x:c>
      <x:c r="C5" s="21" t="str">
        <x:v>Male</x:v>
      </x:c>
      <x:c r="D5" s="36" t="n">
        <x:f>IF(COUNT('Item Scores'!E2,'Item Scores'!H2,'Item Scores'!I2,'Item Scores'!M2,'Item Scores'!U2,'Item Scores'!AE2,'Item Scores'!AG2,'Item Scores'!AM2,'Item Scores'!AR2)&lt;7,"",ROUND(SUM('Item Scores'!E2,'Item Scores'!H2,'Item Scores'!I2,'Item Scores'!M2,'Item Scores'!U2,'Item Scores'!AE2,'Item Scores'!AG2,'Item Scores'!AM2,'Item Scores'!AR2)/COUNT('Item Scores'!E2,'Item Scores'!H2,'Item Scores'!I2,'Item Scores'!M2,'Item Scores'!U2,'Item Scores'!AE2,'Item Scores'!AG2,'Item Scores'!AM2,'Item Scores'!AR2)*9,0))</x:f>
        <x:v>11</x:v>
      </x:c>
      <x:c r="E5" s="36" t="n">
        <x:f>IF(COUNT('Item Scores'!D2,'Item Scores'!O2,'Item Scores'!Y2,'Item Scores'!AA2,'Item Scores'!AC2,'Item Scores'!AI2,'Item Scores'!AK2,'Item Scores'!AN2,'Item Scores'!AP2)&lt;7,"",ROUND(SUM('Item Scores'!D2,'Item Scores'!O2,'Item Scores'!Y2,'Item Scores'!AA2,'Item Scores'!AC2,'Item Scores'!AI2,'Item Scores'!AK2,'Item Scores'!AN2,'Item Scores'!AP2)/COUNT('Item Scores'!D2,'Item Scores'!O2,'Item Scores'!Y2,'Item Scores'!AA2,'Item Scores'!AC2,'Item Scores'!AI2,'Item Scores'!AK2,'Item Scores'!AN2,'Item Scores'!AP2)*9,0))</x:f>
        <x:v>2</x:v>
      </x:c>
      <x:c r="F5" s="36" t="n">
        <x:f>IF(COUNT('Item Scores'!C2,'Item Scores'!G2,'Item Scores'!L2,'Item Scores'!P2,'Item Scores'!T2,'Item Scores'!V2,'Item Scores'!Z2,'Item Scores'!AD2,'Item Scores'!AO2,'Item Scores'!AV2)&lt;8,"",ROUND(SUM('Item Scores'!C2,'Item Scores'!G2,'Item Scores'!L2,'Item Scores'!P2,'Item Scores'!T2,'Item Scores'!V2,'Item Scores'!Z2,'Item Scores'!AD2,'Item Scores'!AO2,'Item Scores'!AV2)/COUNT('Item Scores'!C2,'Item Scores'!G2,'Item Scores'!L2,'Item Scores'!P2,'Item Scores'!T2,'Item Scores'!V2,'Item Scores'!Z2,'Item Scores'!AD2,'Item Scores'!AO2,'Item Scores'!AV2)*10,0))</x:f>
        <x:v>4</x:v>
      </x:c>
      <x:c r="G5" s="36" t="n">
        <x:f>IF(COUNT('Item Scores'!F2,'Item Scores'!J2,'Item Scores'!R2,'Item Scores'!S2,'Item Scores'!AH2,'Item Scores'!AT2,'Item Scores'!AU2)&lt;5,"",ROUND(SUM('Item Scores'!F2,'Item Scores'!J2,'Item Scores'!R2,'Item Scores'!S2,'Item Scores'!AH2,'Item Scores'!AT2,'Item Scores'!AU2)/COUNT('Item Scores'!F2,'Item Scores'!J2,'Item Scores'!R2,'Item Scores'!S2,'Item Scores'!AH2,'Item Scores'!AT2,'Item Scores'!AU2)*7,0))</x:f>
        <x:v>1</x:v>
      </x:c>
      <x:c r="H5" s="36" t="n">
        <x:f>IF(COUNT('Item Scores'!B2,'Item Scores'!N2,'Item Scores'!W2,'Item Scores'!AB2,'Item Scores'!AJ2,'Item Scores'!AL2)&lt;4,"",ROUND(SUM('Item Scores'!B2,'Item Scores'!N2,'Item Scores'!W2,'Item Scores'!AB2,'Item Scores'!AJ2,'Item Scores'!AL2)/COUNT('Item Scores'!B2,'Item Scores'!N2,'Item Scores'!W2,'Item Scores'!AB2,'Item Scores'!AJ2,'Item Scores'!AL2)*6,0))</x:f>
        <x:v>4</x:v>
      </x:c>
      <x:c r="I5" s="36" t="n">
        <x:f>IF(COUNT('Item Scores'!K2,'Item Scores'!Q2,'Item Scores'!X2,'Item Scores'!AF2,'Item Scores'!AQ2,'Item Scores'!AS2)&lt;4,"",ROUND(SUM('Item Scores'!K2,'Item Scores'!Q2,'Item Scores'!X2,'Item Scores'!AF2,'Item Scores'!AQ2,'Item Scores'!AS2)/COUNT('Item Scores'!K2,'Item Scores'!Q2,'Item Scores'!X2,'Item Scores'!AF2,'Item Scores'!AQ2,'Item Scores'!AS2)*6,0))</x:f>
        <x:v>0</x:v>
      </x:c>
      <x:c r="J5" s="37" t="n">
        <x:f>IF(OR($Q5="",$C5=""),"",IFERROR(VLOOKUP($Q5&amp;"|"&amp;$C5&amp;"|SP|"&amp;D5,'Norm Tables'!$A$2:$F$589,6,FALSE),""))</x:f>
        <x:v>49</x:v>
      </x:c>
      <x:c r="K5" s="36" t="n">
        <x:f>IF(OR($Q5="",$C5=""),"",IFERROR(VLOOKUP($Q5&amp;"|"&amp;$C5&amp;"|PD|"&amp;E5,'Norm Tables'!$A$2:$F$589,6,FALSE),""))</x:f>
        <x:v>45</x:v>
      </x:c>
      <x:c r="L5" s="36" t="n">
        <x:f>IF(OR($Q5="",$C5=""),"",IFERROR(VLOOKUP($Q5&amp;"|"&amp;$C5&amp;"|MDD|"&amp;F5,'Norm Tables'!$A$2:$F$589,6,FALSE),""))</x:f>
        <x:v>42</x:v>
      </x:c>
      <x:c r="M5" s="36" t="n">
        <x:f>IF(OR($Q5="",$C5=""),"",IFERROR(VLOOKUP($Q5&amp;"|"&amp;$C5&amp;"|SAD|"&amp;G5,'Norm Tables'!$A$2:$F$589,6,FALSE),""))</x:f>
        <x:v>44</x:v>
      </x:c>
      <x:c r="N5" s="36" t="n">
        <x:f>IF(OR($Q5="",$C5=""),"",IFERROR(VLOOKUP($Q5&amp;"|"&amp;$C5&amp;"|GAD|"&amp;H5,'Norm Tables'!$A$2:$F$589,6,FALSE),""))</x:f>
        <x:v>40</x:v>
      </x:c>
      <x:c r="O5" s="36" t="n">
        <x:f>IF(OR($Q5="",$C5=""),"",IFERROR(VLOOKUP($Q5&amp;"|"&amp;$C5&amp;"|OCD|"&amp;I5,'Norm Tables'!$A$2:$F$589,6,FALSE),""))</x:f>
        <x:v>34</x:v>
      </x:c>
      <x:c r="P5" s="37" t="n">
        <x:f>IF(B5="","",B5-6)</x:f>
        <x:v>9</x:v>
      </x:c>
      <x:c r="Q5" s="36" t="str">
        <x:f>IF(P5="","",IF(OR(P5=7,P5=8),"7-8",IF(OR(P5=9,P5=10),"9-10","")))</x:f>
        <x:v>9-10</x:v>
      </x:c>
      <x:c r="R5" s="36" t="n">
        <x:f>COUNTBLANK('Item Scores'!B2:AV2)</x:f>
        <x:v>0</x:v>
      </x:c>
      <x:c r="S5" s="31" t="str">
        <x:f>IF(OR(B5="",C5=""),"Raw scores available; T-scores not calculated because age/sex is missing",IF(R5=0,"Complete",IF(R5&lt;=2,"Missing item(s); affected subscale score prorated","Review missing responses")))</x:f>
        <x:v>Complete</x:v>
      </x:c>
    </x:row>
    <x:row r="6">
      <x:c r="A6" s="22" t="str">
        <x:v>P2</x:v>
      </x:c>
      <x:c r="B6" s="35" t="n">
        <x:v>15</x:v>
      </x:c>
      <x:c r="C6" s="22" t="str">
        <x:v>Male</x:v>
      </x:c>
      <x:c r="D6" s="38" t="n">
        <x:f>IF(COUNT('Item Scores'!E3,'Item Scores'!H3,'Item Scores'!I3,'Item Scores'!M3,'Item Scores'!U3,'Item Scores'!AE3,'Item Scores'!AG3,'Item Scores'!AM3,'Item Scores'!AR3)&lt;7,"",ROUND(SUM('Item Scores'!E3,'Item Scores'!H3,'Item Scores'!I3,'Item Scores'!M3,'Item Scores'!U3,'Item Scores'!AE3,'Item Scores'!AG3,'Item Scores'!AM3,'Item Scores'!AR3)/COUNT('Item Scores'!E3,'Item Scores'!H3,'Item Scores'!I3,'Item Scores'!M3,'Item Scores'!U3,'Item Scores'!AE3,'Item Scores'!AG3,'Item Scores'!AM3,'Item Scores'!AR3)*9,0))</x:f>
        <x:v>5</x:v>
      </x:c>
      <x:c r="E6" s="38" t="n">
        <x:f>IF(COUNT('Item Scores'!D3,'Item Scores'!O3,'Item Scores'!Y3,'Item Scores'!AA3,'Item Scores'!AC3,'Item Scores'!AI3,'Item Scores'!AK3,'Item Scores'!AN3,'Item Scores'!AP3)&lt;7,"",ROUND(SUM('Item Scores'!D3,'Item Scores'!O3,'Item Scores'!Y3,'Item Scores'!AA3,'Item Scores'!AC3,'Item Scores'!AI3,'Item Scores'!AK3,'Item Scores'!AN3,'Item Scores'!AP3)/COUNT('Item Scores'!D3,'Item Scores'!O3,'Item Scores'!Y3,'Item Scores'!AA3,'Item Scores'!AC3,'Item Scores'!AI3,'Item Scores'!AK3,'Item Scores'!AN3,'Item Scores'!AP3)*9,0))</x:f>
        <x:v>0</x:v>
      </x:c>
      <x:c r="F6" s="38" t="n">
        <x:f>IF(COUNT('Item Scores'!C3,'Item Scores'!G3,'Item Scores'!L3,'Item Scores'!P3,'Item Scores'!T3,'Item Scores'!V3,'Item Scores'!Z3,'Item Scores'!AD3,'Item Scores'!AO3,'Item Scores'!AV3)&lt;8,"",ROUND(SUM('Item Scores'!C3,'Item Scores'!G3,'Item Scores'!L3,'Item Scores'!P3,'Item Scores'!T3,'Item Scores'!V3,'Item Scores'!Z3,'Item Scores'!AD3,'Item Scores'!AO3,'Item Scores'!AV3)/COUNT('Item Scores'!C3,'Item Scores'!G3,'Item Scores'!L3,'Item Scores'!P3,'Item Scores'!T3,'Item Scores'!V3,'Item Scores'!Z3,'Item Scores'!AD3,'Item Scores'!AO3,'Item Scores'!AV3)*10,0))</x:f>
        <x:v>6</x:v>
      </x:c>
      <x:c r="G6" s="38" t="n">
        <x:f>IF(COUNT('Item Scores'!F3,'Item Scores'!J3,'Item Scores'!R3,'Item Scores'!S3,'Item Scores'!AH3,'Item Scores'!AT3,'Item Scores'!AU3)&lt;5,"",ROUND(SUM('Item Scores'!F3,'Item Scores'!J3,'Item Scores'!R3,'Item Scores'!S3,'Item Scores'!AH3,'Item Scores'!AT3,'Item Scores'!AU3)/COUNT('Item Scores'!F3,'Item Scores'!J3,'Item Scores'!R3,'Item Scores'!S3,'Item Scores'!AH3,'Item Scores'!AT3,'Item Scores'!AU3)*7,0))</x:f>
        <x:v>2</x:v>
      </x:c>
      <x:c r="H6" s="38" t="n">
        <x:f>IF(COUNT('Item Scores'!B3,'Item Scores'!N3,'Item Scores'!W3,'Item Scores'!AB3,'Item Scores'!AJ3,'Item Scores'!AL3)&lt;4,"",ROUND(SUM('Item Scores'!B3,'Item Scores'!N3,'Item Scores'!W3,'Item Scores'!AB3,'Item Scores'!AJ3,'Item Scores'!AL3)/COUNT('Item Scores'!B3,'Item Scores'!N3,'Item Scores'!W3,'Item Scores'!AB3,'Item Scores'!AJ3,'Item Scores'!AL3)*6,0))</x:f>
        <x:v>1</x:v>
      </x:c>
      <x:c r="I6" s="38" t="n">
        <x:f>IF(COUNT('Item Scores'!K3,'Item Scores'!Q3,'Item Scores'!X3,'Item Scores'!AF3,'Item Scores'!AQ3,'Item Scores'!AS3)&lt;4,"",ROUND(SUM('Item Scores'!K3,'Item Scores'!Q3,'Item Scores'!X3,'Item Scores'!AF3,'Item Scores'!AQ3,'Item Scores'!AS3)/COUNT('Item Scores'!K3,'Item Scores'!Q3,'Item Scores'!X3,'Item Scores'!AF3,'Item Scores'!AQ3,'Item Scores'!AS3)*6,0))</x:f>
        <x:v>2</x:v>
      </x:c>
      <x:c r="J6" s="39" t="n">
        <x:f>IF(OR($Q6="",$C6=""),"",IFERROR(VLOOKUP($Q6&amp;"|"&amp;$C6&amp;"|SP|"&amp;D6,'Norm Tables'!$A$2:$F$589,6,FALSE),""))</x:f>
        <x:v>36</x:v>
      </x:c>
      <x:c r="K6" s="38" t="n">
        <x:f>IF(OR($Q6="",$C6=""),"",IFERROR(VLOOKUP($Q6&amp;"|"&amp;$C6&amp;"|PD|"&amp;E6,'Norm Tables'!$A$2:$F$589,6,FALSE),""))</x:f>
        <x:v>38</x:v>
      </x:c>
      <x:c r="L6" s="38" t="n">
        <x:f>IF(OR($Q6="",$C6=""),"",IFERROR(VLOOKUP($Q6&amp;"|"&amp;$C6&amp;"|MDD|"&amp;F6,'Norm Tables'!$A$2:$F$589,6,FALSE),""))</x:f>
        <x:v>46</x:v>
      </x:c>
      <x:c r="M6" s="38" t="n">
        <x:f>IF(OR($Q6="",$C6=""),"",IFERROR(VLOOKUP($Q6&amp;"|"&amp;$C6&amp;"|SAD|"&amp;G6,'Norm Tables'!$A$2:$F$589,6,FALSE),""))</x:f>
        <x:v>48</x:v>
      </x:c>
      <x:c r="N6" s="38" t="n">
        <x:f>IF(OR($Q6="",$C6=""),"",IFERROR(VLOOKUP($Q6&amp;"|"&amp;$C6&amp;"|GAD|"&amp;H6,'Norm Tables'!$A$2:$F$589,6,FALSE),""))</x:f>
        <x:v>29</x:v>
      </x:c>
      <x:c r="O6" s="38" t="n">
        <x:f>IF(OR($Q6="",$C6=""),"",IFERROR(VLOOKUP($Q6&amp;"|"&amp;$C6&amp;"|OCD|"&amp;I6,'Norm Tables'!$A$2:$F$589,6,FALSE),""))</x:f>
        <x:v>41</x:v>
      </x:c>
      <x:c r="P6" s="39" t="n">
        <x:f>IF(B6="","",B6-6)</x:f>
        <x:v>9</x:v>
      </x:c>
      <x:c r="Q6" s="38" t="str">
        <x:f>IF(P6="","",IF(OR(P6=7,P6=8),"7-8",IF(OR(P6=9,P6=10),"9-10","")))</x:f>
        <x:v>9-10</x:v>
      </x:c>
      <x:c r="R6" s="38" t="n">
        <x:f>COUNTBLANK('Item Scores'!B3:AV3)</x:f>
        <x:v>0</x:v>
      </x:c>
      <x:c r="S6" s="32" t="str">
        <x:f>IF(OR(B6="",C6=""),"Raw scores available; T-scores not calculated because age/sex is missing",IF(R6=0,"Complete",IF(R6&lt;=2,"Missing item(s); affected subscale score prorated","Review missing responses")))</x:f>
        <x:v>Complete</x:v>
      </x:c>
    </x:row>
    <x:row r="7">
      <x:c r="A7" s="21" t="str">
        <x:v>P3</x:v>
      </x:c>
      <x:c r="B7" s="34" t="n">
        <x:v>14</x:v>
      </x:c>
      <x:c r="C7" s="21" t="str">
        <x:v>Female</x:v>
      </x:c>
      <x:c r="D7" s="36" t="n">
        <x:f>IF(COUNT('Item Scores'!E4,'Item Scores'!H4,'Item Scores'!I4,'Item Scores'!M4,'Item Scores'!U4,'Item Scores'!AE4,'Item Scores'!AG4,'Item Scores'!AM4,'Item Scores'!AR4)&lt;7,"",ROUND(SUM('Item Scores'!E4,'Item Scores'!H4,'Item Scores'!I4,'Item Scores'!M4,'Item Scores'!U4,'Item Scores'!AE4,'Item Scores'!AG4,'Item Scores'!AM4,'Item Scores'!AR4)/COUNT('Item Scores'!E4,'Item Scores'!H4,'Item Scores'!I4,'Item Scores'!M4,'Item Scores'!U4,'Item Scores'!AE4,'Item Scores'!AG4,'Item Scores'!AM4,'Item Scores'!AR4)*9,0))</x:f>
        <x:v>22</x:v>
      </x:c>
      <x:c r="E7" s="36" t="n">
        <x:f>IF(COUNT('Item Scores'!D4,'Item Scores'!O4,'Item Scores'!Y4,'Item Scores'!AA4,'Item Scores'!AC4,'Item Scores'!AI4,'Item Scores'!AK4,'Item Scores'!AN4,'Item Scores'!AP4)&lt;7,"",ROUND(SUM('Item Scores'!D4,'Item Scores'!O4,'Item Scores'!Y4,'Item Scores'!AA4,'Item Scores'!AC4,'Item Scores'!AI4,'Item Scores'!AK4,'Item Scores'!AN4,'Item Scores'!AP4)/COUNT('Item Scores'!D4,'Item Scores'!O4,'Item Scores'!Y4,'Item Scores'!AA4,'Item Scores'!AC4,'Item Scores'!AI4,'Item Scores'!AK4,'Item Scores'!AN4,'Item Scores'!AP4)*9,0))</x:f>
        <x:v>8</x:v>
      </x:c>
      <x:c r="F7" s="36" t="n">
        <x:f>IF(COUNT('Item Scores'!C4,'Item Scores'!G4,'Item Scores'!L4,'Item Scores'!P4,'Item Scores'!T4,'Item Scores'!V4,'Item Scores'!Z4,'Item Scores'!AD4,'Item Scores'!AO4,'Item Scores'!AV4)&lt;8,"",ROUND(SUM('Item Scores'!C4,'Item Scores'!G4,'Item Scores'!L4,'Item Scores'!P4,'Item Scores'!T4,'Item Scores'!V4,'Item Scores'!Z4,'Item Scores'!AD4,'Item Scores'!AO4,'Item Scores'!AV4)/COUNT('Item Scores'!C4,'Item Scores'!G4,'Item Scores'!L4,'Item Scores'!P4,'Item Scores'!T4,'Item Scores'!V4,'Item Scores'!Z4,'Item Scores'!AD4,'Item Scores'!AO4,'Item Scores'!AV4)*10,0))</x:f>
        <x:v>9</x:v>
      </x:c>
      <x:c r="G7" s="36" t="n">
        <x:f>IF(COUNT('Item Scores'!F4,'Item Scores'!J4,'Item Scores'!R4,'Item Scores'!S4,'Item Scores'!AH4,'Item Scores'!AT4,'Item Scores'!AU4)&lt;5,"",ROUND(SUM('Item Scores'!F4,'Item Scores'!J4,'Item Scores'!R4,'Item Scores'!S4,'Item Scores'!AH4,'Item Scores'!AT4,'Item Scores'!AU4)/COUNT('Item Scores'!F4,'Item Scores'!J4,'Item Scores'!R4,'Item Scores'!S4,'Item Scores'!AH4,'Item Scores'!AT4,'Item Scores'!AU4)*7,0))</x:f>
        <x:v>4</x:v>
      </x:c>
      <x:c r="H7" s="36" t="n">
        <x:f>IF(COUNT('Item Scores'!B4,'Item Scores'!N4,'Item Scores'!W4,'Item Scores'!AB4,'Item Scores'!AJ4,'Item Scores'!AL4)&lt;4,"",ROUND(SUM('Item Scores'!B4,'Item Scores'!N4,'Item Scores'!W4,'Item Scores'!AB4,'Item Scores'!AJ4,'Item Scores'!AL4)/COUNT('Item Scores'!B4,'Item Scores'!N4,'Item Scores'!W4,'Item Scores'!AB4,'Item Scores'!AJ4,'Item Scores'!AL4)*6,0))</x:f>
        <x:v>6</x:v>
      </x:c>
      <x:c r="I7" s="36" t="n">
        <x:f>IF(COUNT('Item Scores'!K4,'Item Scores'!Q4,'Item Scores'!X4,'Item Scores'!AF4,'Item Scores'!AQ4,'Item Scores'!AS4)&lt;4,"",ROUND(SUM('Item Scores'!K4,'Item Scores'!Q4,'Item Scores'!X4,'Item Scores'!AF4,'Item Scores'!AQ4,'Item Scores'!AS4)/COUNT('Item Scores'!K4,'Item Scores'!Q4,'Item Scores'!X4,'Item Scores'!AF4,'Item Scores'!AQ4,'Item Scores'!AS4)*6,0))</x:f>
        <x:v>5</x:v>
      </x:c>
      <x:c r="J7" s="37" t="n">
        <x:f>IF(OR($Q7="",$C7=""),"",IFERROR(VLOOKUP($Q7&amp;"|"&amp;$C7&amp;"|SP|"&amp;D7,'Norm Tables'!$A$2:$F$589,6,FALSE),""))</x:f>
        <x:v>68</x:v>
      </x:c>
      <x:c r="K7" s="36" t="n">
        <x:f>IF(OR($Q7="",$C7=""),"",IFERROR(VLOOKUP($Q7&amp;"|"&amp;$C7&amp;"|PD|"&amp;E7,'Norm Tables'!$A$2:$F$589,6,FALSE),""))</x:f>
        <x:v>58</x:v>
      </x:c>
      <x:c r="L7" s="36" t="n">
        <x:f>IF(OR($Q7="",$C7=""),"",IFERROR(VLOOKUP($Q7&amp;"|"&amp;$C7&amp;"|MDD|"&amp;F7,'Norm Tables'!$A$2:$F$589,6,FALSE),""))</x:f>
        <x:v>53</x:v>
      </x:c>
      <x:c r="M7" s="36" t="n">
        <x:f>IF(OR($Q7="",$C7=""),"",IFERROR(VLOOKUP($Q7&amp;"|"&amp;$C7&amp;"|SAD|"&amp;G7,'Norm Tables'!$A$2:$F$589,6,FALSE),""))</x:f>
        <x:v>54</x:v>
      </x:c>
      <x:c r="N7" s="36" t="n">
        <x:f>IF(OR($Q7="",$C7=""),"",IFERROR(VLOOKUP($Q7&amp;"|"&amp;$C7&amp;"|GAD|"&amp;H7,'Norm Tables'!$A$2:$F$589,6,FALSE),""))</x:f>
        <x:v>46</x:v>
      </x:c>
      <x:c r="O7" s="36" t="n">
        <x:f>IF(OR($Q7="",$C7=""),"",IFERROR(VLOOKUP($Q7&amp;"|"&amp;$C7&amp;"|OCD|"&amp;I7,'Norm Tables'!$A$2:$F$589,6,FALSE),""))</x:f>
        <x:v>50</x:v>
      </x:c>
      <x:c r="P7" s="37" t="n">
        <x:f>IF(B7="","",B7-6)</x:f>
        <x:v>8</x:v>
      </x:c>
      <x:c r="Q7" s="36" t="str">
        <x:f>IF(P7="","",IF(OR(P7=7,P7=8),"7-8",IF(OR(P7=9,P7=10),"9-10","")))</x:f>
        <x:v>7-8</x:v>
      </x:c>
      <x:c r="R7" s="36" t="n">
        <x:f>COUNTBLANK('Item Scores'!B4:AV4)</x:f>
        <x:v>0</x:v>
      </x:c>
      <x:c r="S7" s="31" t="str">
        <x:f>IF(OR(B7="",C7=""),"Raw scores available; T-scores not calculated because age/sex is missing",IF(R7=0,"Complete",IF(R7&lt;=2,"Missing item(s); affected subscale score prorated","Review missing responses")))</x:f>
        <x:v>Complete</x:v>
      </x:c>
    </x:row>
    <x:row r="8">
      <x:c r="A8" s="22" t="str">
        <x:v>P4</x:v>
      </x:c>
      <x:c r="B8" s="35" t="n">
        <x:v>13</x:v>
      </x:c>
      <x:c r="C8" s="22" t="str">
        <x:v>Male</x:v>
      </x:c>
      <x:c r="D8" s="38" t="n">
        <x:f>IF(COUNT('Item Scores'!E5,'Item Scores'!H5,'Item Scores'!I5,'Item Scores'!M5,'Item Scores'!U5,'Item Scores'!AE5,'Item Scores'!AG5,'Item Scores'!AM5,'Item Scores'!AR5)&lt;7,"",ROUND(SUM('Item Scores'!E5,'Item Scores'!H5,'Item Scores'!I5,'Item Scores'!M5,'Item Scores'!U5,'Item Scores'!AE5,'Item Scores'!AG5,'Item Scores'!AM5,'Item Scores'!AR5)/COUNT('Item Scores'!E5,'Item Scores'!H5,'Item Scores'!I5,'Item Scores'!M5,'Item Scores'!U5,'Item Scores'!AE5,'Item Scores'!AG5,'Item Scores'!AM5,'Item Scores'!AR5)*9,0))</x:f>
        <x:v>8</x:v>
      </x:c>
      <x:c r="E8" s="38" t="n">
        <x:f>IF(COUNT('Item Scores'!D5,'Item Scores'!O5,'Item Scores'!Y5,'Item Scores'!AA5,'Item Scores'!AC5,'Item Scores'!AI5,'Item Scores'!AK5,'Item Scores'!AN5,'Item Scores'!AP5)&lt;7,"",ROUND(SUM('Item Scores'!D5,'Item Scores'!O5,'Item Scores'!Y5,'Item Scores'!AA5,'Item Scores'!AC5,'Item Scores'!AI5,'Item Scores'!AK5,'Item Scores'!AN5,'Item Scores'!AP5)/COUNT('Item Scores'!D5,'Item Scores'!O5,'Item Scores'!Y5,'Item Scores'!AA5,'Item Scores'!AC5,'Item Scores'!AI5,'Item Scores'!AK5,'Item Scores'!AN5,'Item Scores'!AP5)*9,0))</x:f>
        <x:v>0</x:v>
      </x:c>
      <x:c r="F8" s="38" t="n">
        <x:f>IF(COUNT('Item Scores'!C5,'Item Scores'!G5,'Item Scores'!L5,'Item Scores'!P5,'Item Scores'!T5,'Item Scores'!V5,'Item Scores'!Z5,'Item Scores'!AD5,'Item Scores'!AO5,'Item Scores'!AV5)&lt;8,"",ROUND(SUM('Item Scores'!C5,'Item Scores'!G5,'Item Scores'!L5,'Item Scores'!P5,'Item Scores'!T5,'Item Scores'!V5,'Item Scores'!Z5,'Item Scores'!AD5,'Item Scores'!AO5,'Item Scores'!AV5)/COUNT('Item Scores'!C5,'Item Scores'!G5,'Item Scores'!L5,'Item Scores'!P5,'Item Scores'!T5,'Item Scores'!V5,'Item Scores'!Z5,'Item Scores'!AD5,'Item Scores'!AO5,'Item Scores'!AV5)*10,0))</x:f>
        <x:v>5</x:v>
      </x:c>
      <x:c r="G8" s="38" t="n">
        <x:f>IF(COUNT('Item Scores'!F5,'Item Scores'!J5,'Item Scores'!R5,'Item Scores'!S5,'Item Scores'!AH5,'Item Scores'!AT5,'Item Scores'!AU5)&lt;5,"",ROUND(SUM('Item Scores'!F5,'Item Scores'!J5,'Item Scores'!R5,'Item Scores'!S5,'Item Scores'!AH5,'Item Scores'!AT5,'Item Scores'!AU5)/COUNT('Item Scores'!F5,'Item Scores'!J5,'Item Scores'!R5,'Item Scores'!S5,'Item Scores'!AH5,'Item Scores'!AT5,'Item Scores'!AU5)*7,0))</x:f>
        <x:v>1</x:v>
      </x:c>
      <x:c r="H8" s="38" t="n">
        <x:f>IF(COUNT('Item Scores'!B5,'Item Scores'!N5,'Item Scores'!W5,'Item Scores'!AB5,'Item Scores'!AJ5,'Item Scores'!AL5)&lt;4,"",ROUND(SUM('Item Scores'!B5,'Item Scores'!N5,'Item Scores'!W5,'Item Scores'!AB5,'Item Scores'!AJ5,'Item Scores'!AL5)/COUNT('Item Scores'!B5,'Item Scores'!N5,'Item Scores'!W5,'Item Scores'!AB5,'Item Scores'!AJ5,'Item Scores'!AL5)*6,0))</x:f>
        <x:v>4</x:v>
      </x:c>
      <x:c r="I8" s="38" t="n">
        <x:f>IF(COUNT('Item Scores'!K5,'Item Scores'!Q5,'Item Scores'!X5,'Item Scores'!AF5,'Item Scores'!AQ5,'Item Scores'!AS5)&lt;4,"",ROUND(SUM('Item Scores'!K5,'Item Scores'!Q5,'Item Scores'!X5,'Item Scores'!AF5,'Item Scores'!AQ5,'Item Scores'!AS5)/COUNT('Item Scores'!K5,'Item Scores'!Q5,'Item Scores'!X5,'Item Scores'!AF5,'Item Scores'!AQ5,'Item Scores'!AS5)*6,0))</x:f>
        <x:v>2</x:v>
      </x:c>
      <x:c r="J8" s="39" t="n">
        <x:f>IF(OR($Q8="",$C8=""),"",IFERROR(VLOOKUP($Q8&amp;"|"&amp;$C8&amp;"|SP|"&amp;D8,'Norm Tables'!$A$2:$F$589,6,FALSE),""))</x:f>
        <x:v>44</x:v>
      </x:c>
      <x:c r="K8" s="38" t="n">
        <x:f>IF(OR($Q8="",$C8=""),"",IFERROR(VLOOKUP($Q8&amp;"|"&amp;$C8&amp;"|PD|"&amp;E8,'Norm Tables'!$A$2:$F$589,6,FALSE),""))</x:f>
        <x:v>39</x:v>
      </x:c>
      <x:c r="L8" s="38" t="n">
        <x:f>IF(OR($Q8="",$C8=""),"",IFERROR(VLOOKUP($Q8&amp;"|"&amp;$C8&amp;"|MDD|"&amp;F8,'Norm Tables'!$A$2:$F$589,6,FALSE),""))</x:f>
        <x:v>45</x:v>
      </x:c>
      <x:c r="M8" s="38" t="n">
        <x:f>IF(OR($Q8="",$C8=""),"",IFERROR(VLOOKUP($Q8&amp;"|"&amp;$C8&amp;"|SAD|"&amp;G8,'Norm Tables'!$A$2:$F$589,6,FALSE),""))</x:f>
        <x:v>45</x:v>
      </x:c>
      <x:c r="N8" s="38" t="n">
        <x:f>IF(OR($Q8="",$C8=""),"",IFERROR(VLOOKUP($Q8&amp;"|"&amp;$C8&amp;"|GAD|"&amp;H8,'Norm Tables'!$A$2:$F$589,6,FALSE),""))</x:f>
        <x:v>43</x:v>
      </x:c>
      <x:c r="O8" s="38" t="n">
        <x:f>IF(OR($Q8="",$C8=""),"",IFERROR(VLOOKUP($Q8&amp;"|"&amp;$C8&amp;"|OCD|"&amp;I8,'Norm Tables'!$A$2:$F$589,6,FALSE),""))</x:f>
        <x:v>41</x:v>
      </x:c>
      <x:c r="P8" s="39" t="n">
        <x:f>IF(B8="","",B8-6)</x:f>
        <x:v>7</x:v>
      </x:c>
      <x:c r="Q8" s="38" t="str">
        <x:f>IF(P8="","",IF(OR(P8=7,P8=8),"7-8",IF(OR(P8=9,P8=10),"9-10","")))</x:f>
        <x:v>7-8</x:v>
      </x:c>
      <x:c r="R8" s="38" t="n">
        <x:f>COUNTBLANK('Item Scores'!B5:AV5)</x:f>
        <x:v>0</x:v>
      </x:c>
      <x:c r="S8" s="32" t="str">
        <x:f>IF(OR(B8="",C8=""),"Raw scores available; T-scores not calculated because age/sex is missing",IF(R8=0,"Complete",IF(R8&lt;=2,"Missing item(s); affected subscale score prorated","Review missing responses")))</x:f>
        <x:v>Complete</x:v>
      </x:c>
    </x:row>
    <x:row r="9">
      <x:c r="A9" s="21" t="str">
        <x:v>P5</x:v>
      </x:c>
      <x:c r="B9" s="34" t="n">
        <x:v>13</x:v>
      </x:c>
      <x:c r="C9" s="21" t="str">
        <x:v>Female</x:v>
      </x:c>
      <x:c r="D9" s="36" t="n">
        <x:f>IF(COUNT('Item Scores'!E6,'Item Scores'!H6,'Item Scores'!I6,'Item Scores'!M6,'Item Scores'!U6,'Item Scores'!AE6,'Item Scores'!AG6,'Item Scores'!AM6,'Item Scores'!AR6)&lt;7,"",ROUND(SUM('Item Scores'!E6,'Item Scores'!H6,'Item Scores'!I6,'Item Scores'!M6,'Item Scores'!U6,'Item Scores'!AE6,'Item Scores'!AG6,'Item Scores'!AM6,'Item Scores'!AR6)/COUNT('Item Scores'!E6,'Item Scores'!H6,'Item Scores'!I6,'Item Scores'!M6,'Item Scores'!U6,'Item Scores'!AE6,'Item Scores'!AG6,'Item Scores'!AM6,'Item Scores'!AR6)*9,0))</x:f>
        <x:v>20</x:v>
      </x:c>
      <x:c r="E9" s="36" t="n">
        <x:f>IF(COUNT('Item Scores'!D6,'Item Scores'!O6,'Item Scores'!Y6,'Item Scores'!AA6,'Item Scores'!AC6,'Item Scores'!AI6,'Item Scores'!AK6,'Item Scores'!AN6,'Item Scores'!AP6)&lt;7,"",ROUND(SUM('Item Scores'!D6,'Item Scores'!O6,'Item Scores'!Y6,'Item Scores'!AA6,'Item Scores'!AC6,'Item Scores'!AI6,'Item Scores'!AK6,'Item Scores'!AN6,'Item Scores'!AP6)/COUNT('Item Scores'!D6,'Item Scores'!O6,'Item Scores'!Y6,'Item Scores'!AA6,'Item Scores'!AC6,'Item Scores'!AI6,'Item Scores'!AK6,'Item Scores'!AN6,'Item Scores'!AP6)*9,0))</x:f>
        <x:v>6</x:v>
      </x:c>
      <x:c r="F9" s="36" t="n">
        <x:f>IF(COUNT('Item Scores'!C6,'Item Scores'!G6,'Item Scores'!L6,'Item Scores'!P6,'Item Scores'!T6,'Item Scores'!V6,'Item Scores'!Z6,'Item Scores'!AD6,'Item Scores'!AO6,'Item Scores'!AV6)&lt;8,"",ROUND(SUM('Item Scores'!C6,'Item Scores'!G6,'Item Scores'!L6,'Item Scores'!P6,'Item Scores'!T6,'Item Scores'!V6,'Item Scores'!Z6,'Item Scores'!AD6,'Item Scores'!AO6,'Item Scores'!AV6)/COUNT('Item Scores'!C6,'Item Scores'!G6,'Item Scores'!L6,'Item Scores'!P6,'Item Scores'!T6,'Item Scores'!V6,'Item Scores'!Z6,'Item Scores'!AD6,'Item Scores'!AO6,'Item Scores'!AV6)*10,0))</x:f>
        <x:v>6</x:v>
      </x:c>
      <x:c r="G9" s="36" t="n">
        <x:f>IF(COUNT('Item Scores'!F6,'Item Scores'!J6,'Item Scores'!R6,'Item Scores'!S6,'Item Scores'!AH6,'Item Scores'!AT6,'Item Scores'!AU6)&lt;5,"",ROUND(SUM('Item Scores'!F6,'Item Scores'!J6,'Item Scores'!R6,'Item Scores'!S6,'Item Scores'!AH6,'Item Scores'!AT6,'Item Scores'!AU6)/COUNT('Item Scores'!F6,'Item Scores'!J6,'Item Scores'!R6,'Item Scores'!S6,'Item Scores'!AH6,'Item Scores'!AT6,'Item Scores'!AU6)*7,0))</x:f>
        <x:v>5</x:v>
      </x:c>
      <x:c r="H9" s="36" t="n">
        <x:f>IF(COUNT('Item Scores'!B6,'Item Scores'!N6,'Item Scores'!W6,'Item Scores'!AB6,'Item Scores'!AJ6,'Item Scores'!AL6)&lt;4,"",ROUND(SUM('Item Scores'!B6,'Item Scores'!N6,'Item Scores'!W6,'Item Scores'!AB6,'Item Scores'!AJ6,'Item Scores'!AL6)/COUNT('Item Scores'!B6,'Item Scores'!N6,'Item Scores'!W6,'Item Scores'!AB6,'Item Scores'!AJ6,'Item Scores'!AL6)*6,0))</x:f>
        <x:v>8</x:v>
      </x:c>
      <x:c r="I9" s="36" t="n">
        <x:f>IF(COUNT('Item Scores'!K6,'Item Scores'!Q6,'Item Scores'!X6,'Item Scores'!AF6,'Item Scores'!AQ6,'Item Scores'!AS6)&lt;4,"",ROUND(SUM('Item Scores'!K6,'Item Scores'!Q6,'Item Scores'!X6,'Item Scores'!AF6,'Item Scores'!AQ6,'Item Scores'!AS6)/COUNT('Item Scores'!K6,'Item Scores'!Q6,'Item Scores'!X6,'Item Scores'!AF6,'Item Scores'!AQ6,'Item Scores'!AS6)*6,0))</x:f>
        <x:v>4</x:v>
      </x:c>
      <x:c r="J9" s="37" t="n">
        <x:f>IF(OR($Q9="",$C9=""),"",IFERROR(VLOOKUP($Q9&amp;"|"&amp;$C9&amp;"|SP|"&amp;D9,'Norm Tables'!$A$2:$F$589,6,FALSE),""))</x:f>
        <x:v>64</x:v>
      </x:c>
      <x:c r="K9" s="36" t="n">
        <x:f>IF(OR($Q9="",$C9=""),"",IFERROR(VLOOKUP($Q9&amp;"|"&amp;$C9&amp;"|PD|"&amp;E9,'Norm Tables'!$A$2:$F$589,6,FALSE),""))</x:f>
        <x:v>52</x:v>
      </x:c>
      <x:c r="L9" s="36" t="n">
        <x:f>IF(OR($Q9="",$C9=""),"",IFERROR(VLOOKUP($Q9&amp;"|"&amp;$C9&amp;"|MDD|"&amp;F9,'Norm Tables'!$A$2:$F$589,6,FALSE),""))</x:f>
        <x:v>45</x:v>
      </x:c>
      <x:c r="M9" s="36" t="n">
        <x:f>IF(OR($Q9="",$C9=""),"",IFERROR(VLOOKUP($Q9&amp;"|"&amp;$C9&amp;"|SAD|"&amp;G9,'Norm Tables'!$A$2:$F$589,6,FALSE),""))</x:f>
        <x:v>57</x:v>
      </x:c>
      <x:c r="N9" s="36" t="n">
        <x:f>IF(OR($Q9="",$C9=""),"",IFERROR(VLOOKUP($Q9&amp;"|"&amp;$C9&amp;"|GAD|"&amp;H9,'Norm Tables'!$A$2:$F$589,6,FALSE),""))</x:f>
        <x:v>52</x:v>
      </x:c>
      <x:c r="O9" s="36" t="n">
        <x:f>IF(OR($Q9="",$C9=""),"",IFERROR(VLOOKUP($Q9&amp;"|"&amp;$C9&amp;"|OCD|"&amp;I9,'Norm Tables'!$A$2:$F$589,6,FALSE),""))</x:f>
        <x:v>47</x:v>
      </x:c>
      <x:c r="P9" s="37" t="n">
        <x:f>IF(B9="","",B9-6)</x:f>
        <x:v>7</x:v>
      </x:c>
      <x:c r="Q9" s="36" t="str">
        <x:f>IF(P9="","",IF(OR(P9=7,P9=8),"7-8",IF(OR(P9=9,P9=10),"9-10","")))</x:f>
        <x:v>7-8</x:v>
      </x:c>
      <x:c r="R9" s="36" t="n">
        <x:f>COUNTBLANK('Item Scores'!B6:AV6)</x:f>
        <x:v>0</x:v>
      </x:c>
      <x:c r="S9" s="31" t="str">
        <x:f>IF(OR(B9="",C9=""),"Raw scores available; T-scores not calculated because age/sex is missing",IF(R9=0,"Complete",IF(R9&lt;=2,"Missing item(s); affected subscale score prorated","Review missing responses")))</x:f>
        <x:v>Complete</x:v>
      </x:c>
    </x:row>
    <x:row r="10">
      <x:c r="A10" s="22" t="str">
        <x:v>P6</x:v>
      </x:c>
      <x:c r="B10" s="35" t="n">
        <x:v>15</x:v>
      </x:c>
      <x:c r="C10" s="22" t="str">
        <x:v>Female</x:v>
      </x:c>
      <x:c r="D10" s="38" t="n">
        <x:f>IF(COUNT('Item Scores'!E7,'Item Scores'!H7,'Item Scores'!I7,'Item Scores'!M7,'Item Scores'!U7,'Item Scores'!AE7,'Item Scores'!AG7,'Item Scores'!AM7,'Item Scores'!AR7)&lt;7,"",ROUND(SUM('Item Scores'!E7,'Item Scores'!H7,'Item Scores'!I7,'Item Scores'!M7,'Item Scores'!U7,'Item Scores'!AE7,'Item Scores'!AG7,'Item Scores'!AM7,'Item Scores'!AR7)/COUNT('Item Scores'!E7,'Item Scores'!H7,'Item Scores'!I7,'Item Scores'!M7,'Item Scores'!U7,'Item Scores'!AE7,'Item Scores'!AG7,'Item Scores'!AM7,'Item Scores'!AR7)*9,0))</x:f>
        <x:v>2</x:v>
      </x:c>
      <x:c r="E10" s="38" t="n">
        <x:f>IF(COUNT('Item Scores'!D7,'Item Scores'!O7,'Item Scores'!Y7,'Item Scores'!AA7,'Item Scores'!AC7,'Item Scores'!AI7,'Item Scores'!AK7,'Item Scores'!AN7,'Item Scores'!AP7)&lt;7,"",ROUND(SUM('Item Scores'!D7,'Item Scores'!O7,'Item Scores'!Y7,'Item Scores'!AA7,'Item Scores'!AC7,'Item Scores'!AI7,'Item Scores'!AK7,'Item Scores'!AN7,'Item Scores'!AP7)/COUNT('Item Scores'!D7,'Item Scores'!O7,'Item Scores'!Y7,'Item Scores'!AA7,'Item Scores'!AC7,'Item Scores'!AI7,'Item Scores'!AK7,'Item Scores'!AN7,'Item Scores'!AP7)*9,0))</x:f>
        <x:v>0</x:v>
      </x:c>
      <x:c r="F10" s="38" t="n">
        <x:f>IF(COUNT('Item Scores'!C7,'Item Scores'!G7,'Item Scores'!L7,'Item Scores'!P7,'Item Scores'!T7,'Item Scores'!V7,'Item Scores'!Z7,'Item Scores'!AD7,'Item Scores'!AO7,'Item Scores'!AV7)&lt;8,"",ROUND(SUM('Item Scores'!C7,'Item Scores'!G7,'Item Scores'!L7,'Item Scores'!P7,'Item Scores'!T7,'Item Scores'!V7,'Item Scores'!Z7,'Item Scores'!AD7,'Item Scores'!AO7,'Item Scores'!AV7)/COUNT('Item Scores'!C7,'Item Scores'!G7,'Item Scores'!L7,'Item Scores'!P7,'Item Scores'!T7,'Item Scores'!V7,'Item Scores'!Z7,'Item Scores'!AD7,'Item Scores'!AO7,'Item Scores'!AV7)*10,0))</x:f>
        <x:v>0</x:v>
      </x:c>
      <x:c r="G10" s="38" t="n">
        <x:f>IF(COUNT('Item Scores'!F7,'Item Scores'!J7,'Item Scores'!R7,'Item Scores'!S7,'Item Scores'!AH7,'Item Scores'!AT7,'Item Scores'!AU7)&lt;5,"",ROUND(SUM('Item Scores'!F7,'Item Scores'!J7,'Item Scores'!R7,'Item Scores'!S7,'Item Scores'!AH7,'Item Scores'!AT7,'Item Scores'!AU7)/COUNT('Item Scores'!F7,'Item Scores'!J7,'Item Scores'!R7,'Item Scores'!S7,'Item Scores'!AH7,'Item Scores'!AT7,'Item Scores'!AU7)*7,0))</x:f>
        <x:v>1</x:v>
      </x:c>
      <x:c r="H10" s="38" t="n">
        <x:f>IF(COUNT('Item Scores'!B7,'Item Scores'!N7,'Item Scores'!W7,'Item Scores'!AB7,'Item Scores'!AJ7,'Item Scores'!AL7)&lt;4,"",ROUND(SUM('Item Scores'!B7,'Item Scores'!N7,'Item Scores'!W7,'Item Scores'!AB7,'Item Scores'!AJ7,'Item Scores'!AL7)/COUNT('Item Scores'!B7,'Item Scores'!N7,'Item Scores'!W7,'Item Scores'!AB7,'Item Scores'!AJ7,'Item Scores'!AL7)*6,0))</x:f>
        <x:v>0</x:v>
      </x:c>
      <x:c r="I10" s="38" t="n">
        <x:f>IF(COUNT('Item Scores'!K7,'Item Scores'!Q7,'Item Scores'!X7,'Item Scores'!AF7,'Item Scores'!AQ7,'Item Scores'!AS7)&lt;4,"",ROUND(SUM('Item Scores'!K7,'Item Scores'!Q7,'Item Scores'!X7,'Item Scores'!AF7,'Item Scores'!AQ7,'Item Scores'!AS7)/COUNT('Item Scores'!K7,'Item Scores'!Q7,'Item Scores'!X7,'Item Scores'!AF7,'Item Scores'!AQ7,'Item Scores'!AS7)*6,0))</x:f>
        <x:v>1</x:v>
      </x:c>
      <x:c r="J10" s="39" t="n">
        <x:f>IF(OR($Q10="",$C10=""),"",IFERROR(VLOOKUP($Q10&amp;"|"&amp;$C10&amp;"|SP|"&amp;D10,'Norm Tables'!$A$2:$F$589,6,FALSE),""))</x:f>
        <x:v>29</x:v>
      </x:c>
      <x:c r="K10" s="38" t="n">
        <x:f>IF(OR($Q10="",$C10=""),"",IFERROR(VLOOKUP($Q10&amp;"|"&amp;$C10&amp;"|PD|"&amp;E10,'Norm Tables'!$A$2:$F$589,6,FALSE),""))</x:f>
        <x:v>36</x:v>
      </x:c>
      <x:c r="L10" s="38" t="n">
        <x:f>IF(OR($Q10="",$C10=""),"",IFERROR(VLOOKUP($Q10&amp;"|"&amp;$C10&amp;"|MDD|"&amp;F10,'Norm Tables'!$A$2:$F$589,6,FALSE),""))</x:f>
        <x:v>29</x:v>
      </x:c>
      <x:c r="M10" s="38" t="n">
        <x:f>IF(OR($Q10="",$C10=""),"",IFERROR(VLOOKUP($Q10&amp;"|"&amp;$C10&amp;"|SAD|"&amp;G10,'Norm Tables'!$A$2:$F$589,6,FALSE),""))</x:f>
        <x:v>44</x:v>
      </x:c>
      <x:c r="N10" s="38" t="n">
        <x:f>IF(OR($Q10="",$C10=""),"",IFERROR(VLOOKUP($Q10&amp;"|"&amp;$C10&amp;"|GAD|"&amp;H10,'Norm Tables'!$A$2:$F$589,6,FALSE),""))</x:f>
        <x:v>29</x:v>
      </x:c>
      <x:c r="O10" s="38" t="n">
        <x:f>IF(OR($Q10="",$C10=""),"",IFERROR(VLOOKUP($Q10&amp;"|"&amp;$C10&amp;"|OCD|"&amp;I10,'Norm Tables'!$A$2:$F$589,6,FALSE),""))</x:f>
        <x:v>39</x:v>
      </x:c>
      <x:c r="P10" s="39" t="n">
        <x:f>IF(B10="","",B10-6)</x:f>
        <x:v>9</x:v>
      </x:c>
      <x:c r="Q10" s="38" t="str">
        <x:f>IF(P10="","",IF(OR(P10=7,P10=8),"7-8",IF(OR(P10=9,P10=10),"9-10","")))</x:f>
        <x:v>9-10</x:v>
      </x:c>
      <x:c r="R10" s="38" t="n">
        <x:f>COUNTBLANK('Item Scores'!B7:AV7)</x:f>
        <x:v>0</x:v>
      </x:c>
      <x:c r="S10" s="32" t="str">
        <x:f>IF(OR(B10="",C10=""),"Raw scores available; T-scores not calculated because age/sex is missing",IF(R10=0,"Complete",IF(R10&lt;=2,"Missing item(s); affected subscale score prorated","Review missing responses")))</x:f>
        <x:v>Complete</x:v>
      </x:c>
    </x:row>
    <x:row r="11">
      <x:c r="A11" s="21" t="str">
        <x:v>P7</x:v>
      </x:c>
      <x:c r="B11" s="34" t="n">
        <x:v>14</x:v>
      </x:c>
      <x:c r="C11" s="21" t="str">
        <x:v>Male</x:v>
      </x:c>
      <x:c r="D11" s="36" t="n">
        <x:f>IF(COUNT('Item Scores'!E8,'Item Scores'!H8,'Item Scores'!I8,'Item Scores'!M8,'Item Scores'!U8,'Item Scores'!AE8,'Item Scores'!AG8,'Item Scores'!AM8,'Item Scores'!AR8)&lt;7,"",ROUND(SUM('Item Scores'!E8,'Item Scores'!H8,'Item Scores'!I8,'Item Scores'!M8,'Item Scores'!U8,'Item Scores'!AE8,'Item Scores'!AG8,'Item Scores'!AM8,'Item Scores'!AR8)/COUNT('Item Scores'!E8,'Item Scores'!H8,'Item Scores'!I8,'Item Scores'!M8,'Item Scores'!U8,'Item Scores'!AE8,'Item Scores'!AG8,'Item Scores'!AM8,'Item Scores'!AR8)*9,0))</x:f>
        <x:v>6</x:v>
      </x:c>
      <x:c r="E11" s="36" t="n">
        <x:f>IF(COUNT('Item Scores'!D8,'Item Scores'!O8,'Item Scores'!Y8,'Item Scores'!AA8,'Item Scores'!AC8,'Item Scores'!AI8,'Item Scores'!AK8,'Item Scores'!AN8,'Item Scores'!AP8)&lt;7,"",ROUND(SUM('Item Scores'!D8,'Item Scores'!O8,'Item Scores'!Y8,'Item Scores'!AA8,'Item Scores'!AC8,'Item Scores'!AI8,'Item Scores'!AK8,'Item Scores'!AN8,'Item Scores'!AP8)/COUNT('Item Scores'!D8,'Item Scores'!O8,'Item Scores'!Y8,'Item Scores'!AA8,'Item Scores'!AC8,'Item Scores'!AI8,'Item Scores'!AK8,'Item Scores'!AN8,'Item Scores'!AP8)*9,0))</x:f>
        <x:v>1</x:v>
      </x:c>
      <x:c r="F11" s="36" t="n">
        <x:f>IF(COUNT('Item Scores'!C8,'Item Scores'!G8,'Item Scores'!L8,'Item Scores'!P8,'Item Scores'!T8,'Item Scores'!V8,'Item Scores'!Z8,'Item Scores'!AD8,'Item Scores'!AO8,'Item Scores'!AV8)&lt;8,"",ROUND(SUM('Item Scores'!C8,'Item Scores'!G8,'Item Scores'!L8,'Item Scores'!P8,'Item Scores'!T8,'Item Scores'!V8,'Item Scores'!Z8,'Item Scores'!AD8,'Item Scores'!AO8,'Item Scores'!AV8)/COUNT('Item Scores'!C8,'Item Scores'!G8,'Item Scores'!L8,'Item Scores'!P8,'Item Scores'!T8,'Item Scores'!V8,'Item Scores'!Z8,'Item Scores'!AD8,'Item Scores'!AO8,'Item Scores'!AV8)*10,0))</x:f>
        <x:v>1</x:v>
      </x:c>
      <x:c r="G11" s="36" t="n">
        <x:f>IF(COUNT('Item Scores'!F8,'Item Scores'!J8,'Item Scores'!R8,'Item Scores'!S8,'Item Scores'!AH8,'Item Scores'!AT8,'Item Scores'!AU8)&lt;5,"",ROUND(SUM('Item Scores'!F8,'Item Scores'!J8,'Item Scores'!R8,'Item Scores'!S8,'Item Scores'!AH8,'Item Scores'!AT8,'Item Scores'!AU8)/COUNT('Item Scores'!F8,'Item Scores'!J8,'Item Scores'!R8,'Item Scores'!S8,'Item Scores'!AH8,'Item Scores'!AT8,'Item Scores'!AU8)*7,0))</x:f>
        <x:v>0</x:v>
      </x:c>
      <x:c r="H11" s="36" t="n">
        <x:f>IF(COUNT('Item Scores'!B8,'Item Scores'!N8,'Item Scores'!W8,'Item Scores'!AB8,'Item Scores'!AJ8,'Item Scores'!AL8)&lt;4,"",ROUND(SUM('Item Scores'!B8,'Item Scores'!N8,'Item Scores'!W8,'Item Scores'!AB8,'Item Scores'!AJ8,'Item Scores'!AL8)/COUNT('Item Scores'!B8,'Item Scores'!N8,'Item Scores'!W8,'Item Scores'!AB8,'Item Scores'!AJ8,'Item Scores'!AL8)*6,0))</x:f>
        <x:v>0</x:v>
      </x:c>
      <x:c r="I11" s="36" t="n">
        <x:f>IF(COUNT('Item Scores'!K8,'Item Scores'!Q8,'Item Scores'!X8,'Item Scores'!AF8,'Item Scores'!AQ8,'Item Scores'!AS8)&lt;4,"",ROUND(SUM('Item Scores'!K8,'Item Scores'!Q8,'Item Scores'!X8,'Item Scores'!AF8,'Item Scores'!AQ8,'Item Scores'!AS8)/COUNT('Item Scores'!K8,'Item Scores'!Q8,'Item Scores'!X8,'Item Scores'!AF8,'Item Scores'!AQ8,'Item Scores'!AS8)*6,0))</x:f>
        <x:v>1</x:v>
      </x:c>
      <x:c r="J11" s="37" t="n">
        <x:f>IF(OR($Q11="",$C11=""),"",IFERROR(VLOOKUP($Q11&amp;"|"&amp;$C11&amp;"|SP|"&amp;D11,'Norm Tables'!$A$2:$F$589,6,FALSE),""))</x:f>
        <x:v>39</x:v>
      </x:c>
      <x:c r="K11" s="36" t="n">
        <x:f>IF(OR($Q11="",$C11=""),"",IFERROR(VLOOKUP($Q11&amp;"|"&amp;$C11&amp;"|PD|"&amp;E11,'Norm Tables'!$A$2:$F$589,6,FALSE),""))</x:f>
        <x:v>42</x:v>
      </x:c>
      <x:c r="L11" s="36" t="n">
        <x:f>IF(OR($Q11="",$C11=""),"",IFERROR(VLOOKUP($Q11&amp;"|"&amp;$C11&amp;"|MDD|"&amp;F11,'Norm Tables'!$A$2:$F$589,6,FALSE),""))</x:f>
        <x:v>34</x:v>
      </x:c>
      <x:c r="M11" s="36" t="n">
        <x:f>IF(OR($Q11="",$C11=""),"",IFERROR(VLOOKUP($Q11&amp;"|"&amp;$C11&amp;"|SAD|"&amp;G11,'Norm Tables'!$A$2:$F$589,6,FALSE),""))</x:f>
        <x:v>41</x:v>
      </x:c>
      <x:c r="N11" s="36" t="n">
        <x:f>IF(OR($Q11="",$C11=""),"",IFERROR(VLOOKUP($Q11&amp;"|"&amp;$C11&amp;"|GAD|"&amp;H11,'Norm Tables'!$A$2:$F$589,6,FALSE),""))</x:f>
        <x:v>30</x:v>
      </x:c>
      <x:c r="O11" s="36" t="n">
        <x:f>IF(OR($Q11="",$C11=""),"",IFERROR(VLOOKUP($Q11&amp;"|"&amp;$C11&amp;"|OCD|"&amp;I11,'Norm Tables'!$A$2:$F$589,6,FALSE),""))</x:f>
        <x:v>38</x:v>
      </x:c>
      <x:c r="P11" s="37" t="n">
        <x:f>IF(B11="","",B11-6)</x:f>
        <x:v>8</x:v>
      </x:c>
      <x:c r="Q11" s="36" t="str">
        <x:f>IF(P11="","",IF(OR(P11=7,P11=8),"7-8",IF(OR(P11=9,P11=10),"9-10","")))</x:f>
        <x:v>7-8</x:v>
      </x:c>
      <x:c r="R11" s="36" t="n">
        <x:f>COUNTBLANK('Item Scores'!B8:AV8)</x:f>
        <x:v>0</x:v>
      </x:c>
      <x:c r="S11" s="31" t="str">
        <x:f>IF(OR(B11="",C11=""),"Raw scores available; T-scores not calculated because age/sex is missing",IF(R11=0,"Complete",IF(R11&lt;=2,"Missing item(s); affected subscale score prorated","Review missing responses")))</x:f>
        <x:v>Complete</x:v>
      </x:c>
    </x:row>
    <x:row r="12">
      <x:c r="A12" s="22" t="str">
        <x:v>P8</x:v>
      </x:c>
      <x:c r="B12" s="35" t="n">
        <x:v>14</x:v>
      </x:c>
      <x:c r="C12" s="22" t="str">
        <x:v>Female</x:v>
      </x:c>
      <x:c r="D12" s="38" t="n">
        <x:f>IF(COUNT('Item Scores'!E9,'Item Scores'!H9,'Item Scores'!I9,'Item Scores'!M9,'Item Scores'!U9,'Item Scores'!AE9,'Item Scores'!AG9,'Item Scores'!AM9,'Item Scores'!AR9)&lt;7,"",ROUND(SUM('Item Scores'!E9,'Item Scores'!H9,'Item Scores'!I9,'Item Scores'!M9,'Item Scores'!U9,'Item Scores'!AE9,'Item Scores'!AG9,'Item Scores'!AM9,'Item Scores'!AR9)/COUNT('Item Scores'!E9,'Item Scores'!H9,'Item Scores'!I9,'Item Scores'!M9,'Item Scores'!U9,'Item Scores'!AE9,'Item Scores'!AG9,'Item Scores'!AM9,'Item Scores'!AR9)*9,0))</x:f>
        <x:v>19</x:v>
      </x:c>
      <x:c r="E12" s="38" t="n">
        <x:f>IF(COUNT('Item Scores'!D9,'Item Scores'!O9,'Item Scores'!Y9,'Item Scores'!AA9,'Item Scores'!AC9,'Item Scores'!AI9,'Item Scores'!AK9,'Item Scores'!AN9,'Item Scores'!AP9)&lt;7,"",ROUND(SUM('Item Scores'!D9,'Item Scores'!O9,'Item Scores'!Y9,'Item Scores'!AA9,'Item Scores'!AC9,'Item Scores'!AI9,'Item Scores'!AK9,'Item Scores'!AN9,'Item Scores'!AP9)/COUNT('Item Scores'!D9,'Item Scores'!O9,'Item Scores'!Y9,'Item Scores'!AA9,'Item Scores'!AC9,'Item Scores'!AI9,'Item Scores'!AK9,'Item Scores'!AN9,'Item Scores'!AP9)*9,0))</x:f>
        <x:v>17</x:v>
      </x:c>
      <x:c r="F12" s="38" t="n">
        <x:f>IF(COUNT('Item Scores'!C9,'Item Scores'!G9,'Item Scores'!L9,'Item Scores'!P9,'Item Scores'!T9,'Item Scores'!V9,'Item Scores'!Z9,'Item Scores'!AD9,'Item Scores'!AO9,'Item Scores'!AV9)&lt;8,"",ROUND(SUM('Item Scores'!C9,'Item Scores'!G9,'Item Scores'!L9,'Item Scores'!P9,'Item Scores'!T9,'Item Scores'!V9,'Item Scores'!Z9,'Item Scores'!AD9,'Item Scores'!AO9,'Item Scores'!AV9)/COUNT('Item Scores'!C9,'Item Scores'!G9,'Item Scores'!L9,'Item Scores'!P9,'Item Scores'!T9,'Item Scores'!V9,'Item Scores'!Z9,'Item Scores'!AD9,'Item Scores'!AO9,'Item Scores'!AV9)*10,0))</x:f>
        <x:v>12</x:v>
      </x:c>
      <x:c r="G12" s="38" t="n">
        <x:f>IF(COUNT('Item Scores'!F9,'Item Scores'!J9,'Item Scores'!R9,'Item Scores'!S9,'Item Scores'!AH9,'Item Scores'!AT9,'Item Scores'!AU9)&lt;5,"",ROUND(SUM('Item Scores'!F9,'Item Scores'!J9,'Item Scores'!R9,'Item Scores'!S9,'Item Scores'!AH9,'Item Scores'!AT9,'Item Scores'!AU9)/COUNT('Item Scores'!F9,'Item Scores'!J9,'Item Scores'!R9,'Item Scores'!S9,'Item Scores'!AH9,'Item Scores'!AT9,'Item Scores'!AU9)*7,0))</x:f>
        <x:v>7</x:v>
      </x:c>
      <x:c r="H12" s="38" t="n">
        <x:f>IF(COUNT('Item Scores'!B9,'Item Scores'!N9,'Item Scores'!W9,'Item Scores'!AB9,'Item Scores'!AJ9,'Item Scores'!AL9)&lt;4,"",ROUND(SUM('Item Scores'!B9,'Item Scores'!N9,'Item Scores'!W9,'Item Scores'!AB9,'Item Scores'!AJ9,'Item Scores'!AL9)/COUNT('Item Scores'!B9,'Item Scores'!N9,'Item Scores'!W9,'Item Scores'!AB9,'Item Scores'!AJ9,'Item Scores'!AL9)*6,0))</x:f>
        <x:v>10</x:v>
      </x:c>
      <x:c r="I12" s="38" t="n">
        <x:f>IF(COUNT('Item Scores'!K9,'Item Scores'!Q9,'Item Scores'!X9,'Item Scores'!AF9,'Item Scores'!AQ9,'Item Scores'!AS9)&lt;4,"",ROUND(SUM('Item Scores'!K9,'Item Scores'!Q9,'Item Scores'!X9,'Item Scores'!AF9,'Item Scores'!AQ9,'Item Scores'!AS9)/COUNT('Item Scores'!K9,'Item Scores'!Q9,'Item Scores'!X9,'Item Scores'!AF9,'Item Scores'!AQ9,'Item Scores'!AS9)*6,0))</x:f>
        <x:v>3</x:v>
      </x:c>
      <x:c r="J12" s="39" t="n">
        <x:f>IF(OR($Q12="",$C12=""),"",IFERROR(VLOOKUP($Q12&amp;"|"&amp;$C12&amp;"|SP|"&amp;D12,'Norm Tables'!$A$2:$F$589,6,FALSE),""))</x:f>
        <x:v>62</x:v>
      </x:c>
      <x:c r="K12" s="38" t="n">
        <x:f>IF(OR($Q12="",$C12=""),"",IFERROR(VLOOKUP($Q12&amp;"|"&amp;$C12&amp;"|PD|"&amp;E12,'Norm Tables'!$A$2:$F$589,6,FALSE),""))</x:f>
        <x:v>81</x:v>
      </x:c>
      <x:c r="L12" s="38" t="n">
        <x:f>IF(OR($Q12="",$C12=""),"",IFERROR(VLOOKUP($Q12&amp;"|"&amp;$C12&amp;"|MDD|"&amp;F12,'Norm Tables'!$A$2:$F$589,6,FALSE),""))</x:f>
        <x:v>61</x:v>
      </x:c>
      <x:c r="M12" s="38" t="n">
        <x:f>IF(OR($Q12="",$C12=""),"",IFERROR(VLOOKUP($Q12&amp;"|"&amp;$C12&amp;"|SAD|"&amp;G12,'Norm Tables'!$A$2:$F$589,6,FALSE),""))</x:f>
        <x:v>65</x:v>
      </x:c>
      <x:c r="N12" s="38" t="n">
        <x:f>IF(OR($Q12="",$C12=""),"",IFERROR(VLOOKUP($Q12&amp;"|"&amp;$C12&amp;"|GAD|"&amp;H12,'Norm Tables'!$A$2:$F$589,6,FALSE),""))</x:f>
        <x:v>58</x:v>
      </x:c>
      <x:c r="O12" s="38" t="n">
        <x:f>IF(OR($Q12="",$C12=""),"",IFERROR(VLOOKUP($Q12&amp;"|"&amp;$C12&amp;"|OCD|"&amp;I12,'Norm Tables'!$A$2:$F$589,6,FALSE),""))</x:f>
        <x:v>44</x:v>
      </x:c>
      <x:c r="P12" s="39" t="n">
        <x:f>IF(B12="","",B12-6)</x:f>
        <x:v>8</x:v>
      </x:c>
      <x:c r="Q12" s="38" t="str">
        <x:f>IF(P12="","",IF(OR(P12=7,P12=8),"7-8",IF(OR(P12=9,P12=10),"9-10","")))</x:f>
        <x:v>7-8</x:v>
      </x:c>
      <x:c r="R12" s="38" t="n">
        <x:f>COUNTBLANK('Item Scores'!B9:AV9)</x:f>
        <x:v>0</x:v>
      </x:c>
      <x:c r="S12" s="32" t="str">
        <x:f>IF(OR(B12="",C12=""),"Raw scores available; T-scores not calculated because age/sex is missing",IF(R12=0,"Complete",IF(R12&lt;=2,"Missing item(s); affected subscale score prorated","Review missing responses")))</x:f>
        <x:v>Complete</x:v>
      </x:c>
    </x:row>
    <x:row r="13">
      <x:c r="A13" s="21" t="str">
        <x:v>P9</x:v>
      </x:c>
      <x:c r="B13" s="34" t="n">
        <x:v>15</x:v>
      </x:c>
      <x:c r="C13" s="21" t="str">
        <x:v>Male</x:v>
      </x:c>
      <x:c r="D13" s="36" t="n">
        <x:f>IF(COUNT('Item Scores'!E10,'Item Scores'!H10,'Item Scores'!I10,'Item Scores'!M10,'Item Scores'!U10,'Item Scores'!AE10,'Item Scores'!AG10,'Item Scores'!AM10,'Item Scores'!AR10)&lt;7,"",ROUND(SUM('Item Scores'!E10,'Item Scores'!H10,'Item Scores'!I10,'Item Scores'!M10,'Item Scores'!U10,'Item Scores'!AE10,'Item Scores'!AG10,'Item Scores'!AM10,'Item Scores'!AR10)/COUNT('Item Scores'!E10,'Item Scores'!H10,'Item Scores'!I10,'Item Scores'!M10,'Item Scores'!U10,'Item Scores'!AE10,'Item Scores'!AG10,'Item Scores'!AM10,'Item Scores'!AR10)*9,0))</x:f>
        <x:v>4</x:v>
      </x:c>
      <x:c r="E13" s="36" t="n">
        <x:f>IF(COUNT('Item Scores'!D10,'Item Scores'!O10,'Item Scores'!Y10,'Item Scores'!AA10,'Item Scores'!AC10,'Item Scores'!AI10,'Item Scores'!AK10,'Item Scores'!AN10,'Item Scores'!AP10)&lt;7,"",ROUND(SUM('Item Scores'!D10,'Item Scores'!O10,'Item Scores'!Y10,'Item Scores'!AA10,'Item Scores'!AC10,'Item Scores'!AI10,'Item Scores'!AK10,'Item Scores'!AN10,'Item Scores'!AP10)/COUNT('Item Scores'!D10,'Item Scores'!O10,'Item Scores'!Y10,'Item Scores'!AA10,'Item Scores'!AC10,'Item Scores'!AI10,'Item Scores'!AK10,'Item Scores'!AN10,'Item Scores'!AP10)*9,0))</x:f>
        <x:v>2</x:v>
      </x:c>
      <x:c r="F13" s="36" t="n">
        <x:f>IF(COUNT('Item Scores'!C10,'Item Scores'!G10,'Item Scores'!L10,'Item Scores'!P10,'Item Scores'!T10,'Item Scores'!V10,'Item Scores'!Z10,'Item Scores'!AD10,'Item Scores'!AO10,'Item Scores'!AV10)&lt;8,"",ROUND(SUM('Item Scores'!C10,'Item Scores'!G10,'Item Scores'!L10,'Item Scores'!P10,'Item Scores'!T10,'Item Scores'!V10,'Item Scores'!Z10,'Item Scores'!AD10,'Item Scores'!AO10,'Item Scores'!AV10)/COUNT('Item Scores'!C10,'Item Scores'!G10,'Item Scores'!L10,'Item Scores'!P10,'Item Scores'!T10,'Item Scores'!V10,'Item Scores'!Z10,'Item Scores'!AD10,'Item Scores'!AO10,'Item Scores'!AV10)*10,0))</x:f>
        <x:v>7</x:v>
      </x:c>
      <x:c r="G13" s="36" t="n">
        <x:f>IF(COUNT('Item Scores'!F10,'Item Scores'!J10,'Item Scores'!R10,'Item Scores'!S10,'Item Scores'!AH10,'Item Scores'!AT10,'Item Scores'!AU10)&lt;5,"",ROUND(SUM('Item Scores'!F10,'Item Scores'!J10,'Item Scores'!R10,'Item Scores'!S10,'Item Scores'!AH10,'Item Scores'!AT10,'Item Scores'!AU10)/COUNT('Item Scores'!F10,'Item Scores'!J10,'Item Scores'!R10,'Item Scores'!S10,'Item Scores'!AH10,'Item Scores'!AT10,'Item Scores'!AU10)*7,0))</x:f>
        <x:v>1</x:v>
      </x:c>
      <x:c r="H13" s="36" t="n">
        <x:f>IF(COUNT('Item Scores'!B10,'Item Scores'!N10,'Item Scores'!W10,'Item Scores'!AB10,'Item Scores'!AJ10,'Item Scores'!AL10)&lt;4,"",ROUND(SUM('Item Scores'!B10,'Item Scores'!N10,'Item Scores'!W10,'Item Scores'!AB10,'Item Scores'!AJ10,'Item Scores'!AL10)/COUNT('Item Scores'!B10,'Item Scores'!N10,'Item Scores'!W10,'Item Scores'!AB10,'Item Scores'!AJ10,'Item Scores'!AL10)*6,0))</x:f>
        <x:v>3</x:v>
      </x:c>
      <x:c r="I13" s="36" t="n">
        <x:f>IF(COUNT('Item Scores'!K10,'Item Scores'!Q10,'Item Scores'!X10,'Item Scores'!AF10,'Item Scores'!AQ10,'Item Scores'!AS10)&lt;4,"",ROUND(SUM('Item Scores'!K10,'Item Scores'!Q10,'Item Scores'!X10,'Item Scores'!AF10,'Item Scores'!AQ10,'Item Scores'!AS10)/COUNT('Item Scores'!K10,'Item Scores'!Q10,'Item Scores'!X10,'Item Scores'!AF10,'Item Scores'!AQ10,'Item Scores'!AS10)*6,0))</x:f>
        <x:v>1</x:v>
      </x:c>
      <x:c r="J13" s="37" t="n">
        <x:f>IF(OR($Q13="",$C13=""),"",IFERROR(VLOOKUP($Q13&amp;"|"&amp;$C13&amp;"|SP|"&amp;D13,'Norm Tables'!$A$2:$F$589,6,FALSE),""))</x:f>
        <x:v>34</x:v>
      </x:c>
      <x:c r="K13" s="36" t="n">
        <x:f>IF(OR($Q13="",$C13=""),"",IFERROR(VLOOKUP($Q13&amp;"|"&amp;$C13&amp;"|PD|"&amp;E13,'Norm Tables'!$A$2:$F$589,6,FALSE),""))</x:f>
        <x:v>45</x:v>
      </x:c>
      <x:c r="L13" s="36" t="n">
        <x:f>IF(OR($Q13="",$C13=""),"",IFERROR(VLOOKUP($Q13&amp;"|"&amp;$C13&amp;"|MDD|"&amp;F13,'Norm Tables'!$A$2:$F$589,6,FALSE),""))</x:f>
        <x:v>49</x:v>
      </x:c>
      <x:c r="M13" s="36" t="n">
        <x:f>IF(OR($Q13="",$C13=""),"",IFERROR(VLOOKUP($Q13&amp;"|"&amp;$C13&amp;"|SAD|"&amp;G13,'Norm Tables'!$A$2:$F$589,6,FALSE),""))</x:f>
        <x:v>44</x:v>
      </x:c>
      <x:c r="N13" s="36" t="n">
        <x:f>IF(OR($Q13="",$C13=""),"",IFERROR(VLOOKUP($Q13&amp;"|"&amp;$C13&amp;"|GAD|"&amp;H13,'Norm Tables'!$A$2:$F$589,6,FALSE),""))</x:f>
        <x:v>36</x:v>
      </x:c>
      <x:c r="O13" s="36" t="n">
        <x:f>IF(OR($Q13="",$C13=""),"",IFERROR(VLOOKUP($Q13&amp;"|"&amp;$C13&amp;"|OCD|"&amp;I13,'Norm Tables'!$A$2:$F$589,6,FALSE),""))</x:f>
        <x:v>37</x:v>
      </x:c>
      <x:c r="P13" s="37" t="n">
        <x:f>IF(B13="","",B13-6)</x:f>
        <x:v>9</x:v>
      </x:c>
      <x:c r="Q13" s="36" t="str">
        <x:f>IF(P13="","",IF(OR(P13=7,P13=8),"7-8",IF(OR(P13=9,P13=10),"9-10","")))</x:f>
        <x:v>9-10</x:v>
      </x:c>
      <x:c r="R13" s="36" t="n">
        <x:f>COUNTBLANK('Item Scores'!B10:AV10)</x:f>
        <x:v>0</x:v>
      </x:c>
      <x:c r="S13" s="31" t="str">
        <x:f>IF(OR(B13="",C13=""),"Raw scores available; T-scores not calculated because age/sex is missing",IF(R13=0,"Complete",IF(R13&lt;=2,"Missing item(s); affected subscale score prorated","Review missing responses")))</x:f>
        <x:v>Complete</x:v>
      </x:c>
    </x:row>
    <x:row r="14">
      <x:c r="A14" s="22" t="str">
        <x:v>P10</x:v>
      </x:c>
      <x:c r="B14" s="35" t="n">
        <x:v>13</x:v>
      </x:c>
      <x:c r="C14" s="22" t="str">
        <x:v>Female</x:v>
      </x:c>
      <x:c r="D14" s="38" t="n">
        <x:f>IF(COUNT('Item Scores'!E11,'Item Scores'!H11,'Item Scores'!I11,'Item Scores'!M11,'Item Scores'!U11,'Item Scores'!AE11,'Item Scores'!AG11,'Item Scores'!AM11,'Item Scores'!AR11)&lt;7,"",ROUND(SUM('Item Scores'!E11,'Item Scores'!H11,'Item Scores'!I11,'Item Scores'!M11,'Item Scores'!U11,'Item Scores'!AE11,'Item Scores'!AG11,'Item Scores'!AM11,'Item Scores'!AR11)/COUNT('Item Scores'!E11,'Item Scores'!H11,'Item Scores'!I11,'Item Scores'!M11,'Item Scores'!U11,'Item Scores'!AE11,'Item Scores'!AG11,'Item Scores'!AM11,'Item Scores'!AR11)*9,0))</x:f>
        <x:v>12</x:v>
      </x:c>
      <x:c r="E14" s="38" t="n">
        <x:f>IF(COUNT('Item Scores'!D11,'Item Scores'!O11,'Item Scores'!Y11,'Item Scores'!AA11,'Item Scores'!AC11,'Item Scores'!AI11,'Item Scores'!AK11,'Item Scores'!AN11,'Item Scores'!AP11)&lt;7,"",ROUND(SUM('Item Scores'!D11,'Item Scores'!O11,'Item Scores'!Y11,'Item Scores'!AA11,'Item Scores'!AC11,'Item Scores'!AI11,'Item Scores'!AK11,'Item Scores'!AN11,'Item Scores'!AP11)/COUNT('Item Scores'!D11,'Item Scores'!O11,'Item Scores'!Y11,'Item Scores'!AA11,'Item Scores'!AC11,'Item Scores'!AI11,'Item Scores'!AK11,'Item Scores'!AN11,'Item Scores'!AP11)*9,0))</x:f>
        <x:v>2</x:v>
      </x:c>
      <x:c r="F14" s="38" t="n">
        <x:f>IF(COUNT('Item Scores'!C11,'Item Scores'!G11,'Item Scores'!L11,'Item Scores'!P11,'Item Scores'!T11,'Item Scores'!V11,'Item Scores'!Z11,'Item Scores'!AD11,'Item Scores'!AO11,'Item Scores'!AV11)&lt;8,"",ROUND(SUM('Item Scores'!C11,'Item Scores'!G11,'Item Scores'!L11,'Item Scores'!P11,'Item Scores'!T11,'Item Scores'!V11,'Item Scores'!Z11,'Item Scores'!AD11,'Item Scores'!AO11,'Item Scores'!AV11)/COUNT('Item Scores'!C11,'Item Scores'!G11,'Item Scores'!L11,'Item Scores'!P11,'Item Scores'!T11,'Item Scores'!V11,'Item Scores'!Z11,'Item Scores'!AD11,'Item Scores'!AO11,'Item Scores'!AV11)*10,0))</x:f>
        <x:v>12</x:v>
      </x:c>
      <x:c r="G14" s="38" t="n">
        <x:f>IF(COUNT('Item Scores'!F11,'Item Scores'!J11,'Item Scores'!R11,'Item Scores'!S11,'Item Scores'!AH11,'Item Scores'!AT11,'Item Scores'!AU11)&lt;5,"",ROUND(SUM('Item Scores'!F11,'Item Scores'!J11,'Item Scores'!R11,'Item Scores'!S11,'Item Scores'!AH11,'Item Scores'!AT11,'Item Scores'!AU11)/COUNT('Item Scores'!F11,'Item Scores'!J11,'Item Scores'!R11,'Item Scores'!S11,'Item Scores'!AH11,'Item Scores'!AT11,'Item Scores'!AU11)*7,0))</x:f>
        <x:v>6</x:v>
      </x:c>
      <x:c r="H14" s="38" t="n">
        <x:f>IF(COUNT('Item Scores'!B11,'Item Scores'!N11,'Item Scores'!W11,'Item Scores'!AB11,'Item Scores'!AJ11,'Item Scores'!AL11)&lt;4,"",ROUND(SUM('Item Scores'!B11,'Item Scores'!N11,'Item Scores'!W11,'Item Scores'!AB11,'Item Scores'!AJ11,'Item Scores'!AL11)/COUNT('Item Scores'!B11,'Item Scores'!N11,'Item Scores'!W11,'Item Scores'!AB11,'Item Scores'!AJ11,'Item Scores'!AL11)*6,0))</x:f>
        <x:v>6</x:v>
      </x:c>
      <x:c r="I14" s="38" t="n">
        <x:f>IF(COUNT('Item Scores'!K11,'Item Scores'!Q11,'Item Scores'!X11,'Item Scores'!AF11,'Item Scores'!AQ11,'Item Scores'!AS11)&lt;4,"",ROUND(SUM('Item Scores'!K11,'Item Scores'!Q11,'Item Scores'!X11,'Item Scores'!AF11,'Item Scores'!AQ11,'Item Scores'!AS11)/COUNT('Item Scores'!K11,'Item Scores'!Q11,'Item Scores'!X11,'Item Scores'!AF11,'Item Scores'!AQ11,'Item Scores'!AS11)*6,0))</x:f>
        <x:v>4</x:v>
      </x:c>
      <x:c r="J14" s="39" t="n">
        <x:f>IF(OR($Q14="",$C14=""),"",IFERROR(VLOOKUP($Q14&amp;"|"&amp;$C14&amp;"|SP|"&amp;D14,'Norm Tables'!$A$2:$F$589,6,FALSE),""))</x:f>
        <x:v>48</x:v>
      </x:c>
      <x:c r="K14" s="38" t="n">
        <x:f>IF(OR($Q14="",$C14=""),"",IFERROR(VLOOKUP($Q14&amp;"|"&amp;$C14&amp;"|PD|"&amp;E14,'Norm Tables'!$A$2:$F$589,6,FALSE),""))</x:f>
        <x:v>42</x:v>
      </x:c>
      <x:c r="L14" s="38" t="n">
        <x:f>IF(OR($Q14="",$C14=""),"",IFERROR(VLOOKUP($Q14&amp;"|"&amp;$C14&amp;"|MDD|"&amp;F14,'Norm Tables'!$A$2:$F$589,6,FALSE),""))</x:f>
        <x:v>61</x:v>
      </x:c>
      <x:c r="M14" s="38" t="n">
        <x:f>IF(OR($Q14="",$C14=""),"",IFERROR(VLOOKUP($Q14&amp;"|"&amp;$C14&amp;"|SAD|"&amp;G14,'Norm Tables'!$A$2:$F$589,6,FALSE),""))</x:f>
        <x:v>61</x:v>
      </x:c>
      <x:c r="N14" s="38" t="n">
        <x:f>IF(OR($Q14="",$C14=""),"",IFERROR(VLOOKUP($Q14&amp;"|"&amp;$C14&amp;"|GAD|"&amp;H14,'Norm Tables'!$A$2:$F$589,6,FALSE),""))</x:f>
        <x:v>46</x:v>
      </x:c>
      <x:c r="O14" s="38" t="n">
        <x:f>IF(OR($Q14="",$C14=""),"",IFERROR(VLOOKUP($Q14&amp;"|"&amp;$C14&amp;"|OCD|"&amp;I14,'Norm Tables'!$A$2:$F$589,6,FALSE),""))</x:f>
        <x:v>47</x:v>
      </x:c>
      <x:c r="P14" s="39" t="n">
        <x:f>IF(B14="","",B14-6)</x:f>
        <x:v>7</x:v>
      </x:c>
      <x:c r="Q14" s="38" t="str">
        <x:f>IF(P14="","",IF(OR(P14=7,P14=8),"7-8",IF(OR(P14=9,P14=10),"9-10","")))</x:f>
        <x:v>7-8</x:v>
      </x:c>
      <x:c r="R14" s="38" t="n">
        <x:f>COUNTBLANK('Item Scores'!B11:AV11)</x:f>
        <x:v>0</x:v>
      </x:c>
      <x:c r="S14" s="32" t="str">
        <x:f>IF(OR(B14="",C14=""),"Raw scores available; T-scores not calculated because age/sex is missing",IF(R14=0,"Complete",IF(R14&lt;=2,"Missing item(s); affected subscale score prorated","Review missing responses")))</x:f>
        <x:v>Complete</x:v>
      </x:c>
    </x:row>
    <x:row r="15">
      <x:c r="A15" s="21" t="str">
        <x:v>P11</x:v>
      </x:c>
      <x:c r="B15" s="34" t="n">
        <x:v>14</x:v>
      </x:c>
      <x:c r="C15" s="21" t="str">
        <x:v>Male</x:v>
      </x:c>
      <x:c r="D15" s="36" t="n">
        <x:f>IF(COUNT('Item Scores'!E12,'Item Scores'!H12,'Item Scores'!I12,'Item Scores'!M12,'Item Scores'!U12,'Item Scores'!AE12,'Item Scores'!AG12,'Item Scores'!AM12,'Item Scores'!AR12)&lt;7,"",ROUND(SUM('Item Scores'!E12,'Item Scores'!H12,'Item Scores'!I12,'Item Scores'!M12,'Item Scores'!U12,'Item Scores'!AE12,'Item Scores'!AG12,'Item Scores'!AM12,'Item Scores'!AR12)/COUNT('Item Scores'!E12,'Item Scores'!H12,'Item Scores'!I12,'Item Scores'!M12,'Item Scores'!U12,'Item Scores'!AE12,'Item Scores'!AG12,'Item Scores'!AM12,'Item Scores'!AR12)*9,0))</x:f>
        <x:v>11</x:v>
      </x:c>
      <x:c r="E15" s="36" t="n">
        <x:f>IF(COUNT('Item Scores'!D12,'Item Scores'!O12,'Item Scores'!Y12,'Item Scores'!AA12,'Item Scores'!AC12,'Item Scores'!AI12,'Item Scores'!AK12,'Item Scores'!AN12,'Item Scores'!AP12)&lt;7,"",ROUND(SUM('Item Scores'!D12,'Item Scores'!O12,'Item Scores'!Y12,'Item Scores'!AA12,'Item Scores'!AC12,'Item Scores'!AI12,'Item Scores'!AK12,'Item Scores'!AN12,'Item Scores'!AP12)/COUNT('Item Scores'!D12,'Item Scores'!O12,'Item Scores'!Y12,'Item Scores'!AA12,'Item Scores'!AC12,'Item Scores'!AI12,'Item Scores'!AK12,'Item Scores'!AN12,'Item Scores'!AP12)*9,0))</x:f>
        <x:v>2</x:v>
      </x:c>
      <x:c r="F15" s="36" t="n">
        <x:f>IF(COUNT('Item Scores'!C12,'Item Scores'!G12,'Item Scores'!L12,'Item Scores'!P12,'Item Scores'!T12,'Item Scores'!V12,'Item Scores'!Z12,'Item Scores'!AD12,'Item Scores'!AO12,'Item Scores'!AV12)&lt;8,"",ROUND(SUM('Item Scores'!C12,'Item Scores'!G12,'Item Scores'!L12,'Item Scores'!P12,'Item Scores'!T12,'Item Scores'!V12,'Item Scores'!Z12,'Item Scores'!AD12,'Item Scores'!AO12,'Item Scores'!AV12)/COUNT('Item Scores'!C12,'Item Scores'!G12,'Item Scores'!L12,'Item Scores'!P12,'Item Scores'!T12,'Item Scores'!V12,'Item Scores'!Z12,'Item Scores'!AD12,'Item Scores'!AO12,'Item Scores'!AV12)*10,0))</x:f>
        <x:v>10</x:v>
      </x:c>
      <x:c r="G15" s="36" t="n">
        <x:f>IF(COUNT('Item Scores'!F12,'Item Scores'!J12,'Item Scores'!R12,'Item Scores'!S12,'Item Scores'!AH12,'Item Scores'!AT12,'Item Scores'!AU12)&lt;5,"",ROUND(SUM('Item Scores'!F12,'Item Scores'!J12,'Item Scores'!R12,'Item Scores'!S12,'Item Scores'!AH12,'Item Scores'!AT12,'Item Scores'!AU12)/COUNT('Item Scores'!F12,'Item Scores'!J12,'Item Scores'!R12,'Item Scores'!S12,'Item Scores'!AH12,'Item Scores'!AT12,'Item Scores'!AU12)*7,0))</x:f>
        <x:v>2</x:v>
      </x:c>
      <x:c r="H15" s="36" t="n">
        <x:f>IF(COUNT('Item Scores'!B12,'Item Scores'!N12,'Item Scores'!W12,'Item Scores'!AB12,'Item Scores'!AJ12,'Item Scores'!AL12)&lt;4,"",ROUND(SUM('Item Scores'!B12,'Item Scores'!N12,'Item Scores'!W12,'Item Scores'!AB12,'Item Scores'!AJ12,'Item Scores'!AL12)/COUNT('Item Scores'!B12,'Item Scores'!N12,'Item Scores'!W12,'Item Scores'!AB12,'Item Scores'!AJ12,'Item Scores'!AL12)*6,0))</x:f>
        <x:v>6</x:v>
      </x:c>
      <x:c r="I15" s="36" t="n">
        <x:f>IF(COUNT('Item Scores'!K12,'Item Scores'!Q12,'Item Scores'!X12,'Item Scores'!AF12,'Item Scores'!AQ12,'Item Scores'!AS12)&lt;4,"",ROUND(SUM('Item Scores'!K12,'Item Scores'!Q12,'Item Scores'!X12,'Item Scores'!AF12,'Item Scores'!AQ12,'Item Scores'!AS12)/COUNT('Item Scores'!K12,'Item Scores'!Q12,'Item Scores'!X12,'Item Scores'!AF12,'Item Scores'!AQ12,'Item Scores'!AS12)*6,0))</x:f>
        <x:v>8</x:v>
      </x:c>
      <x:c r="J15" s="37" t="n">
        <x:f>IF(OR($Q15="",$C15=""),"",IFERROR(VLOOKUP($Q15&amp;"|"&amp;$C15&amp;"|SP|"&amp;D15,'Norm Tables'!$A$2:$F$589,6,FALSE),""))</x:f>
        <x:v>50</x:v>
      </x:c>
      <x:c r="K15" s="36" t="n">
        <x:f>IF(OR($Q15="",$C15=""),"",IFERROR(VLOOKUP($Q15&amp;"|"&amp;$C15&amp;"|PD|"&amp;E15,'Norm Tables'!$A$2:$F$589,6,FALSE),""))</x:f>
        <x:v>45</x:v>
      </x:c>
      <x:c r="L15" s="36" t="n">
        <x:f>IF(OR($Q15="",$C15=""),"",IFERROR(VLOOKUP($Q15&amp;"|"&amp;$C15&amp;"|MDD|"&amp;F15,'Norm Tables'!$A$2:$F$589,6,FALSE),""))</x:f>
        <x:v>59</x:v>
      </x:c>
      <x:c r="M15" s="36" t="n">
        <x:f>IF(OR($Q15="",$C15=""),"",IFERROR(VLOOKUP($Q15&amp;"|"&amp;$C15&amp;"|SAD|"&amp;G15,'Norm Tables'!$A$2:$F$589,6,FALSE),""))</x:f>
        <x:v>49</x:v>
      </x:c>
      <x:c r="N15" s="36" t="n">
        <x:f>IF(OR($Q15="",$C15=""),"",IFERROR(VLOOKUP($Q15&amp;"|"&amp;$C15&amp;"|GAD|"&amp;H15,'Norm Tables'!$A$2:$F$589,6,FALSE),""))</x:f>
        <x:v>49</x:v>
      </x:c>
      <x:c r="O15" s="36" t="n">
        <x:f>IF(OR($Q15="",$C15=""),"",IFERROR(VLOOKUP($Q15&amp;"|"&amp;$C15&amp;"|OCD|"&amp;I15,'Norm Tables'!$A$2:$F$589,6,FALSE),""))</x:f>
        <x:v>58</x:v>
      </x:c>
      <x:c r="P15" s="37" t="n">
        <x:f>IF(B15="","",B15-6)</x:f>
        <x:v>8</x:v>
      </x:c>
      <x:c r="Q15" s="36" t="str">
        <x:f>IF(P15="","",IF(OR(P15=7,P15=8),"7-8",IF(OR(P15=9,P15=10),"9-10","")))</x:f>
        <x:v>7-8</x:v>
      </x:c>
      <x:c r="R15" s="36" t="n">
        <x:f>COUNTBLANK('Item Scores'!B12:AV12)</x:f>
        <x:v>0</x:v>
      </x:c>
      <x:c r="S15" s="31" t="str">
        <x:f>IF(OR(B15="",C15=""),"Raw scores available; T-scores not calculated because age/sex is missing",IF(R15=0,"Complete",IF(R15&lt;=2,"Missing item(s); affected subscale score prorated","Review missing responses")))</x:f>
        <x:v>Complete</x:v>
      </x:c>
    </x:row>
    <x:row r="16">
      <x:c r="A16" s="22" t="str">
        <x:v>P12</x:v>
      </x:c>
      <x:c r="B16" s="35" t="n">
        <x:v>14</x:v>
      </x:c>
      <x:c r="C16" s="22" t="str">
        <x:v>Male</x:v>
      </x:c>
      <x:c r="D16" s="38" t="n">
        <x:f>IF(COUNT('Item Scores'!E13,'Item Scores'!H13,'Item Scores'!I13,'Item Scores'!M13,'Item Scores'!U13,'Item Scores'!AE13,'Item Scores'!AG13,'Item Scores'!AM13,'Item Scores'!AR13)&lt;7,"",ROUND(SUM('Item Scores'!E13,'Item Scores'!H13,'Item Scores'!I13,'Item Scores'!M13,'Item Scores'!U13,'Item Scores'!AE13,'Item Scores'!AG13,'Item Scores'!AM13,'Item Scores'!AR13)/COUNT('Item Scores'!E13,'Item Scores'!H13,'Item Scores'!I13,'Item Scores'!M13,'Item Scores'!U13,'Item Scores'!AE13,'Item Scores'!AG13,'Item Scores'!AM13,'Item Scores'!AR13)*9,0))</x:f>
        <x:v>4</x:v>
      </x:c>
      <x:c r="E16" s="38" t="n">
        <x:f>IF(COUNT('Item Scores'!D13,'Item Scores'!O13,'Item Scores'!Y13,'Item Scores'!AA13,'Item Scores'!AC13,'Item Scores'!AI13,'Item Scores'!AK13,'Item Scores'!AN13,'Item Scores'!AP13)&lt;7,"",ROUND(SUM('Item Scores'!D13,'Item Scores'!O13,'Item Scores'!Y13,'Item Scores'!AA13,'Item Scores'!AC13,'Item Scores'!AI13,'Item Scores'!AK13,'Item Scores'!AN13,'Item Scores'!AP13)/COUNT('Item Scores'!D13,'Item Scores'!O13,'Item Scores'!Y13,'Item Scores'!AA13,'Item Scores'!AC13,'Item Scores'!AI13,'Item Scores'!AK13,'Item Scores'!AN13,'Item Scores'!AP13)*9,0))</x:f>
        <x:v>1</x:v>
      </x:c>
      <x:c r="F16" s="38" t="n">
        <x:f>IF(COUNT('Item Scores'!C13,'Item Scores'!G13,'Item Scores'!L13,'Item Scores'!P13,'Item Scores'!T13,'Item Scores'!V13,'Item Scores'!Z13,'Item Scores'!AD13,'Item Scores'!AO13,'Item Scores'!AV13)&lt;8,"",ROUND(SUM('Item Scores'!C13,'Item Scores'!G13,'Item Scores'!L13,'Item Scores'!P13,'Item Scores'!T13,'Item Scores'!V13,'Item Scores'!Z13,'Item Scores'!AD13,'Item Scores'!AO13,'Item Scores'!AV13)/COUNT('Item Scores'!C13,'Item Scores'!G13,'Item Scores'!L13,'Item Scores'!P13,'Item Scores'!T13,'Item Scores'!V13,'Item Scores'!Z13,'Item Scores'!AD13,'Item Scores'!AO13,'Item Scores'!AV13)*10,0))</x:f>
        <x:v>0</x:v>
      </x:c>
      <x:c r="G16" s="38" t="n">
        <x:f>IF(COUNT('Item Scores'!F13,'Item Scores'!J13,'Item Scores'!R13,'Item Scores'!S13,'Item Scores'!AH13,'Item Scores'!AT13,'Item Scores'!AU13)&lt;5,"",ROUND(SUM('Item Scores'!F13,'Item Scores'!J13,'Item Scores'!R13,'Item Scores'!S13,'Item Scores'!AH13,'Item Scores'!AT13,'Item Scores'!AU13)/COUNT('Item Scores'!F13,'Item Scores'!J13,'Item Scores'!R13,'Item Scores'!S13,'Item Scores'!AH13,'Item Scores'!AT13,'Item Scores'!AU13)*7,0))</x:f>
        <x:v>1</x:v>
      </x:c>
      <x:c r="H16" s="38" t="n">
        <x:f>IF(COUNT('Item Scores'!B13,'Item Scores'!N13,'Item Scores'!W13,'Item Scores'!AB13,'Item Scores'!AJ13,'Item Scores'!AL13)&lt;4,"",ROUND(SUM('Item Scores'!B13,'Item Scores'!N13,'Item Scores'!W13,'Item Scores'!AB13,'Item Scores'!AJ13,'Item Scores'!AL13)/COUNT('Item Scores'!B13,'Item Scores'!N13,'Item Scores'!W13,'Item Scores'!AB13,'Item Scores'!AJ13,'Item Scores'!AL13)*6,0))</x:f>
        <x:v>1</x:v>
      </x:c>
      <x:c r="I16" s="38" t="n">
        <x:f>IF(COUNT('Item Scores'!K13,'Item Scores'!Q13,'Item Scores'!X13,'Item Scores'!AF13,'Item Scores'!AQ13,'Item Scores'!AS13)&lt;4,"",ROUND(SUM('Item Scores'!K13,'Item Scores'!Q13,'Item Scores'!X13,'Item Scores'!AF13,'Item Scores'!AQ13,'Item Scores'!AS13)/COUNT('Item Scores'!K13,'Item Scores'!Q13,'Item Scores'!X13,'Item Scores'!AF13,'Item Scores'!AQ13,'Item Scores'!AS13)*6,0))</x:f>
        <x:v>0</x:v>
      </x:c>
      <x:c r="J16" s="39" t="n">
        <x:f>IF(OR($Q16="",$C16=""),"",IFERROR(VLOOKUP($Q16&amp;"|"&amp;$C16&amp;"|SP|"&amp;D16,'Norm Tables'!$A$2:$F$589,6,FALSE),""))</x:f>
        <x:v>35</x:v>
      </x:c>
      <x:c r="K16" s="38" t="n">
        <x:f>IF(OR($Q16="",$C16=""),"",IFERROR(VLOOKUP($Q16&amp;"|"&amp;$C16&amp;"|PD|"&amp;E16,'Norm Tables'!$A$2:$F$589,6,FALSE),""))</x:f>
        <x:v>42</x:v>
      </x:c>
      <x:c r="L16" s="38" t="n">
        <x:f>IF(OR($Q16="",$C16=""),"",IFERROR(VLOOKUP($Q16&amp;"|"&amp;$C16&amp;"|MDD|"&amp;F16,'Norm Tables'!$A$2:$F$589,6,FALSE),""))</x:f>
        <x:v>32</x:v>
      </x:c>
      <x:c r="M16" s="38" t="n">
        <x:f>IF(OR($Q16="",$C16=""),"",IFERROR(VLOOKUP($Q16&amp;"|"&amp;$C16&amp;"|SAD|"&amp;G16,'Norm Tables'!$A$2:$F$589,6,FALSE),""))</x:f>
        <x:v>45</x:v>
      </x:c>
      <x:c r="N16" s="38" t="n">
        <x:f>IF(OR($Q16="",$C16=""),"",IFERROR(VLOOKUP($Q16&amp;"|"&amp;$C16&amp;"|GAD|"&amp;H16,'Norm Tables'!$A$2:$F$589,6,FALSE),""))</x:f>
        <x:v>33</x:v>
      </x:c>
      <x:c r="O16" s="38" t="n">
        <x:f>IF(OR($Q16="",$C16=""),"",IFERROR(VLOOKUP($Q16&amp;"|"&amp;$C16&amp;"|OCD|"&amp;I16,'Norm Tables'!$A$2:$F$589,6,FALSE),""))</x:f>
        <x:v>35</x:v>
      </x:c>
      <x:c r="P16" s="39" t="n">
        <x:f>IF(B16="","",B16-6)</x:f>
        <x:v>8</x:v>
      </x:c>
      <x:c r="Q16" s="38" t="str">
        <x:f>IF(P16="","",IF(OR(P16=7,P16=8),"7-8",IF(OR(P16=9,P16=10),"9-10","")))</x:f>
        <x:v>7-8</x:v>
      </x:c>
      <x:c r="R16" s="38" t="n">
        <x:f>COUNTBLANK('Item Scores'!B13:AV13)</x:f>
        <x:v>0</x:v>
      </x:c>
      <x:c r="S16" s="32" t="str">
        <x:f>IF(OR(B16="",C16=""),"Raw scores available; T-scores not calculated because age/sex is missing",IF(R16=0,"Complete",IF(R16&lt;=2,"Missing item(s); affected subscale score prorated","Review missing responses")))</x:f>
        <x:v>Complete</x:v>
      </x:c>
    </x:row>
    <x:row r="17">
      <x:c r="A17" s="21" t="str">
        <x:v>P13</x:v>
      </x:c>
      <x:c r="B17" s="34" t="n">
        <x:v>15</x:v>
      </x:c>
      <x:c r="C17" s="21" t="str">
        <x:v>Female</x:v>
      </x:c>
      <x:c r="D17" s="36" t="n">
        <x:f>IF(COUNT('Item Scores'!E14,'Item Scores'!H14,'Item Scores'!I14,'Item Scores'!M14,'Item Scores'!U14,'Item Scores'!AE14,'Item Scores'!AG14,'Item Scores'!AM14,'Item Scores'!AR14)&lt;7,"",ROUND(SUM('Item Scores'!E14,'Item Scores'!H14,'Item Scores'!I14,'Item Scores'!M14,'Item Scores'!U14,'Item Scores'!AE14,'Item Scores'!AG14,'Item Scores'!AM14,'Item Scores'!AR14)/COUNT('Item Scores'!E14,'Item Scores'!H14,'Item Scores'!I14,'Item Scores'!M14,'Item Scores'!U14,'Item Scores'!AE14,'Item Scores'!AG14,'Item Scores'!AM14,'Item Scores'!AR14)*9,0))</x:f>
        <x:v>19</x:v>
      </x:c>
      <x:c r="E17" s="36" t="n">
        <x:f>IF(COUNT('Item Scores'!D14,'Item Scores'!O14,'Item Scores'!Y14,'Item Scores'!AA14,'Item Scores'!AC14,'Item Scores'!AI14,'Item Scores'!AK14,'Item Scores'!AN14,'Item Scores'!AP14)&lt;7,"",ROUND(SUM('Item Scores'!D14,'Item Scores'!O14,'Item Scores'!Y14,'Item Scores'!AA14,'Item Scores'!AC14,'Item Scores'!AI14,'Item Scores'!AK14,'Item Scores'!AN14,'Item Scores'!AP14)/COUNT('Item Scores'!D14,'Item Scores'!O14,'Item Scores'!Y14,'Item Scores'!AA14,'Item Scores'!AC14,'Item Scores'!AI14,'Item Scores'!AK14,'Item Scores'!AN14,'Item Scores'!AP14)*9,0))</x:f>
        <x:v>11</x:v>
      </x:c>
      <x:c r="F17" s="36" t="n">
        <x:f>IF(COUNT('Item Scores'!C14,'Item Scores'!G14,'Item Scores'!L14,'Item Scores'!P14,'Item Scores'!T14,'Item Scores'!V14,'Item Scores'!Z14,'Item Scores'!AD14,'Item Scores'!AO14,'Item Scores'!AV14)&lt;8,"",ROUND(SUM('Item Scores'!C14,'Item Scores'!G14,'Item Scores'!L14,'Item Scores'!P14,'Item Scores'!T14,'Item Scores'!V14,'Item Scores'!Z14,'Item Scores'!AD14,'Item Scores'!AO14,'Item Scores'!AV14)/COUNT('Item Scores'!C14,'Item Scores'!G14,'Item Scores'!L14,'Item Scores'!P14,'Item Scores'!T14,'Item Scores'!V14,'Item Scores'!Z14,'Item Scores'!AD14,'Item Scores'!AO14,'Item Scores'!AV14)*10,0))</x:f>
        <x:v>11</x:v>
      </x:c>
      <x:c r="G17" s="36" t="n">
        <x:f>IF(COUNT('Item Scores'!F14,'Item Scores'!J14,'Item Scores'!R14,'Item Scores'!S14,'Item Scores'!AH14,'Item Scores'!AT14,'Item Scores'!AU14)&lt;5,"",ROUND(SUM('Item Scores'!F14,'Item Scores'!J14,'Item Scores'!R14,'Item Scores'!S14,'Item Scores'!AH14,'Item Scores'!AT14,'Item Scores'!AU14)/COUNT('Item Scores'!F14,'Item Scores'!J14,'Item Scores'!R14,'Item Scores'!S14,'Item Scores'!AH14,'Item Scores'!AT14,'Item Scores'!AU14)*7,0))</x:f>
        <x:v>5</x:v>
      </x:c>
      <x:c r="H17" s="36" t="n">
        <x:f>IF(COUNT('Item Scores'!B14,'Item Scores'!N14,'Item Scores'!W14,'Item Scores'!AB14,'Item Scores'!AJ14,'Item Scores'!AL14)&lt;4,"",ROUND(SUM('Item Scores'!B14,'Item Scores'!N14,'Item Scores'!W14,'Item Scores'!AB14,'Item Scores'!AJ14,'Item Scores'!AL14)/COUNT('Item Scores'!B14,'Item Scores'!N14,'Item Scores'!W14,'Item Scores'!AB14,'Item Scores'!AJ14,'Item Scores'!AL14)*6,0))</x:f>
        <x:v>6</x:v>
      </x:c>
      <x:c r="I17" s="36" t="n">
        <x:f>IF(COUNT('Item Scores'!K14,'Item Scores'!Q14,'Item Scores'!X14,'Item Scores'!AF14,'Item Scores'!AQ14,'Item Scores'!AS14)&lt;4,"",ROUND(SUM('Item Scores'!K14,'Item Scores'!Q14,'Item Scores'!X14,'Item Scores'!AF14,'Item Scores'!AQ14,'Item Scores'!AS14)/COUNT('Item Scores'!K14,'Item Scores'!Q14,'Item Scores'!X14,'Item Scores'!AF14,'Item Scores'!AQ14,'Item Scores'!AS14)*6,0))</x:f>
        <x:v>4</x:v>
      </x:c>
      <x:c r="J17" s="37" t="n">
        <x:f>IF(OR($Q17="",$C17=""),"",IFERROR(VLOOKUP($Q17&amp;"|"&amp;$C17&amp;"|SP|"&amp;D17,'Norm Tables'!$A$2:$F$589,6,FALSE),""))</x:f>
        <x:v>63</x:v>
      </x:c>
      <x:c r="K17" s="36" t="n">
        <x:f>IF(OR($Q17="",$C17=""),"",IFERROR(VLOOKUP($Q17&amp;"|"&amp;$C17&amp;"|PD|"&amp;E17,'Norm Tables'!$A$2:$F$589,6,FALSE),""))</x:f>
        <x:v>72</x:v>
      </x:c>
      <x:c r="L17" s="36" t="n">
        <x:f>IF(OR($Q17="",$C17=""),"",IFERROR(VLOOKUP($Q17&amp;"|"&amp;$C17&amp;"|MDD|"&amp;F17,'Norm Tables'!$A$2:$F$589,6,FALSE),""))</x:f>
        <x:v>59</x:v>
      </x:c>
      <x:c r="M17" s="36" t="n">
        <x:f>IF(OR($Q17="",$C17=""),"",IFERROR(VLOOKUP($Q17&amp;"|"&amp;$C17&amp;"|SAD|"&amp;G17,'Norm Tables'!$A$2:$F$589,6,FALSE),""))</x:f>
        <x:v>62</x:v>
      </x:c>
      <x:c r="N17" s="36" t="n">
        <x:f>IF(OR($Q17="",$C17=""),"",IFERROR(VLOOKUP($Q17&amp;"|"&amp;$C17&amp;"|GAD|"&amp;H17,'Norm Tables'!$A$2:$F$589,6,FALSE),""))</x:f>
        <x:v>46</x:v>
      </x:c>
      <x:c r="O17" s="36" t="n">
        <x:f>IF(OR($Q17="",$C17=""),"",IFERROR(VLOOKUP($Q17&amp;"|"&amp;$C17&amp;"|OCD|"&amp;I17,'Norm Tables'!$A$2:$F$589,6,FALSE),""))</x:f>
        <x:v>50</x:v>
      </x:c>
      <x:c r="P17" s="37" t="n">
        <x:f>IF(B17="","",B17-6)</x:f>
        <x:v>9</x:v>
      </x:c>
      <x:c r="Q17" s="36" t="str">
        <x:f>IF(P17="","",IF(OR(P17=7,P17=8),"7-8",IF(OR(P17=9,P17=10),"9-10","")))</x:f>
        <x:v>9-10</x:v>
      </x:c>
      <x:c r="R17" s="36" t="n">
        <x:f>COUNTBLANK('Item Scores'!B14:AV14)</x:f>
        <x:v>0</x:v>
      </x:c>
      <x:c r="S17" s="31" t="str">
        <x:f>IF(OR(B17="",C17=""),"Raw scores available; T-scores not calculated because age/sex is missing",IF(R17=0,"Complete",IF(R17&lt;=2,"Missing item(s); affected subscale score prorated","Review missing responses")))</x:f>
        <x:v>Complete</x:v>
      </x:c>
    </x:row>
    <x:row r="18">
      <x:c r="A18" s="22" t="str">
        <x:v>P14</x:v>
      </x:c>
      <x:c r="B18" s="35" t="n">
        <x:v>13</x:v>
      </x:c>
      <x:c r="C18" s="22" t="str">
        <x:v>Female</x:v>
      </x:c>
      <x:c r="D18" s="38" t="n">
        <x:f>IF(COUNT('Item Scores'!E15,'Item Scores'!H15,'Item Scores'!I15,'Item Scores'!M15,'Item Scores'!U15,'Item Scores'!AE15,'Item Scores'!AG15,'Item Scores'!AM15,'Item Scores'!AR15)&lt;7,"",ROUND(SUM('Item Scores'!E15,'Item Scores'!H15,'Item Scores'!I15,'Item Scores'!M15,'Item Scores'!U15,'Item Scores'!AE15,'Item Scores'!AG15,'Item Scores'!AM15,'Item Scores'!AR15)/COUNT('Item Scores'!E15,'Item Scores'!H15,'Item Scores'!I15,'Item Scores'!M15,'Item Scores'!U15,'Item Scores'!AE15,'Item Scores'!AG15,'Item Scores'!AM15,'Item Scores'!AR15)*9,0))</x:f>
        <x:v>10</x:v>
      </x:c>
      <x:c r="E18" s="38" t="n">
        <x:f>IF(COUNT('Item Scores'!D15,'Item Scores'!O15,'Item Scores'!Y15,'Item Scores'!AA15,'Item Scores'!AC15,'Item Scores'!AI15,'Item Scores'!AK15,'Item Scores'!AN15,'Item Scores'!AP15)&lt;7,"",ROUND(SUM('Item Scores'!D15,'Item Scores'!O15,'Item Scores'!Y15,'Item Scores'!AA15,'Item Scores'!AC15,'Item Scores'!AI15,'Item Scores'!AK15,'Item Scores'!AN15,'Item Scores'!AP15)/COUNT('Item Scores'!D15,'Item Scores'!O15,'Item Scores'!Y15,'Item Scores'!AA15,'Item Scores'!AC15,'Item Scores'!AI15,'Item Scores'!AK15,'Item Scores'!AN15,'Item Scores'!AP15)*9,0))</x:f>
        <x:v>5</x:v>
      </x:c>
      <x:c r="F18" s="38" t="n">
        <x:f>IF(COUNT('Item Scores'!C15,'Item Scores'!G15,'Item Scores'!L15,'Item Scores'!P15,'Item Scores'!T15,'Item Scores'!V15,'Item Scores'!Z15,'Item Scores'!AD15,'Item Scores'!AO15,'Item Scores'!AV15)&lt;8,"",ROUND(SUM('Item Scores'!C15,'Item Scores'!G15,'Item Scores'!L15,'Item Scores'!P15,'Item Scores'!T15,'Item Scores'!V15,'Item Scores'!Z15,'Item Scores'!AD15,'Item Scores'!AO15,'Item Scores'!AV15)/COUNT('Item Scores'!C15,'Item Scores'!G15,'Item Scores'!L15,'Item Scores'!P15,'Item Scores'!T15,'Item Scores'!V15,'Item Scores'!Z15,'Item Scores'!AD15,'Item Scores'!AO15,'Item Scores'!AV15)*10,0))</x:f>
        <x:v>5</x:v>
      </x:c>
      <x:c r="G18" s="38" t="n">
        <x:f>IF(COUNT('Item Scores'!F15,'Item Scores'!J15,'Item Scores'!R15,'Item Scores'!S15,'Item Scores'!AH15,'Item Scores'!AT15,'Item Scores'!AU15)&lt;5,"",ROUND(SUM('Item Scores'!F15,'Item Scores'!J15,'Item Scores'!R15,'Item Scores'!S15,'Item Scores'!AH15,'Item Scores'!AT15,'Item Scores'!AU15)/COUNT('Item Scores'!F15,'Item Scores'!J15,'Item Scores'!R15,'Item Scores'!S15,'Item Scores'!AH15,'Item Scores'!AT15,'Item Scores'!AU15)*7,0))</x:f>
        <x:v>6</x:v>
      </x:c>
      <x:c r="H18" s="38" t="n">
        <x:f>IF(COUNT('Item Scores'!B15,'Item Scores'!N15,'Item Scores'!W15,'Item Scores'!AB15,'Item Scores'!AJ15,'Item Scores'!AL15)&lt;4,"",ROUND(SUM('Item Scores'!B15,'Item Scores'!N15,'Item Scores'!W15,'Item Scores'!AB15,'Item Scores'!AJ15,'Item Scores'!AL15)/COUNT('Item Scores'!B15,'Item Scores'!N15,'Item Scores'!W15,'Item Scores'!AB15,'Item Scores'!AJ15,'Item Scores'!AL15)*6,0))</x:f>
        <x:v>5</x:v>
      </x:c>
      <x:c r="I18" s="38" t="n">
        <x:f>IF(COUNT('Item Scores'!K15,'Item Scores'!Q15,'Item Scores'!X15,'Item Scores'!AF15,'Item Scores'!AQ15,'Item Scores'!AS15)&lt;4,"",ROUND(SUM('Item Scores'!K15,'Item Scores'!Q15,'Item Scores'!X15,'Item Scores'!AF15,'Item Scores'!AQ15,'Item Scores'!AS15)/COUNT('Item Scores'!K15,'Item Scores'!Q15,'Item Scores'!X15,'Item Scores'!AF15,'Item Scores'!AQ15,'Item Scores'!AS15)*6,0))</x:f>
        <x:v>3</x:v>
      </x:c>
      <x:c r="J18" s="39" t="n">
        <x:f>IF(OR($Q18="",$C18=""),"",IFERROR(VLOOKUP($Q18&amp;"|"&amp;$C18&amp;"|SP|"&amp;D18,'Norm Tables'!$A$2:$F$589,6,FALSE),""))</x:f>
        <x:v>44</x:v>
      </x:c>
      <x:c r="K18" s="38" t="n">
        <x:f>IF(OR($Q18="",$C18=""),"",IFERROR(VLOOKUP($Q18&amp;"|"&amp;$C18&amp;"|PD|"&amp;E18,'Norm Tables'!$A$2:$F$589,6,FALSE),""))</x:f>
        <x:v>50</x:v>
      </x:c>
      <x:c r="L18" s="38" t="n">
        <x:f>IF(OR($Q18="",$C18=""),"",IFERROR(VLOOKUP($Q18&amp;"|"&amp;$C18&amp;"|MDD|"&amp;F18,'Norm Tables'!$A$2:$F$589,6,FALSE),""))</x:f>
        <x:v>43</x:v>
      </x:c>
      <x:c r="M18" s="38" t="n">
        <x:f>IF(OR($Q18="",$C18=""),"",IFERROR(VLOOKUP($Q18&amp;"|"&amp;$C18&amp;"|SAD|"&amp;G18,'Norm Tables'!$A$2:$F$589,6,FALSE),""))</x:f>
        <x:v>61</x:v>
      </x:c>
      <x:c r="N18" s="38" t="n">
        <x:f>IF(OR($Q18="",$C18=""),"",IFERROR(VLOOKUP($Q18&amp;"|"&amp;$C18&amp;"|GAD|"&amp;H18,'Norm Tables'!$A$2:$F$589,6,FALSE),""))</x:f>
        <x:v>42</x:v>
      </x:c>
      <x:c r="O18" s="38" t="n">
        <x:f>IF(OR($Q18="",$C18=""),"",IFERROR(VLOOKUP($Q18&amp;"|"&amp;$C18&amp;"|OCD|"&amp;I18,'Norm Tables'!$A$2:$F$589,6,FALSE),""))</x:f>
        <x:v>44</x:v>
      </x:c>
      <x:c r="P18" s="39" t="n">
        <x:f>IF(B18="","",B18-6)</x:f>
        <x:v>7</x:v>
      </x:c>
      <x:c r="Q18" s="38" t="str">
        <x:f>IF(P18="","",IF(OR(P18=7,P18=8),"7-8",IF(OR(P18=9,P18=10),"9-10","")))</x:f>
        <x:v>7-8</x:v>
      </x:c>
      <x:c r="R18" s="38" t="n">
        <x:f>COUNTBLANK('Item Scores'!B15:AV15)</x:f>
        <x:v>0</x:v>
      </x:c>
      <x:c r="S18" s="32" t="str">
        <x:f>IF(OR(B18="",C18=""),"Raw scores available; T-scores not calculated because age/sex is missing",IF(R18=0,"Complete",IF(R18&lt;=2,"Missing item(s); affected subscale score prorated","Review missing responses")))</x:f>
        <x:v>Complete</x:v>
      </x:c>
    </x:row>
    <x:row r="19">
      <x:c r="A19" s="21" t="str">
        <x:v>P15</x:v>
      </x:c>
      <x:c r="B19" s="34" t="n">
        <x:v>15</x:v>
      </x:c>
      <x:c r="C19" s="21" t="str">
        <x:v>Male</x:v>
      </x:c>
      <x:c r="D19" s="36" t="n">
        <x:f>IF(COUNT('Item Scores'!E16,'Item Scores'!H16,'Item Scores'!I16,'Item Scores'!M16,'Item Scores'!U16,'Item Scores'!AE16,'Item Scores'!AG16,'Item Scores'!AM16,'Item Scores'!AR16)&lt;7,"",ROUND(SUM('Item Scores'!E16,'Item Scores'!H16,'Item Scores'!I16,'Item Scores'!M16,'Item Scores'!U16,'Item Scores'!AE16,'Item Scores'!AG16,'Item Scores'!AM16,'Item Scores'!AR16)/COUNT('Item Scores'!E16,'Item Scores'!H16,'Item Scores'!I16,'Item Scores'!M16,'Item Scores'!U16,'Item Scores'!AE16,'Item Scores'!AG16,'Item Scores'!AM16,'Item Scores'!AR16)*9,0))</x:f>
        <x:v>9</x:v>
      </x:c>
      <x:c r="E19" s="36" t="n">
        <x:f>IF(COUNT('Item Scores'!D16,'Item Scores'!O16,'Item Scores'!Y16,'Item Scores'!AA16,'Item Scores'!AC16,'Item Scores'!AI16,'Item Scores'!AK16,'Item Scores'!AN16,'Item Scores'!AP16)&lt;7,"",ROUND(SUM('Item Scores'!D16,'Item Scores'!O16,'Item Scores'!Y16,'Item Scores'!AA16,'Item Scores'!AC16,'Item Scores'!AI16,'Item Scores'!AK16,'Item Scores'!AN16,'Item Scores'!AP16)/COUNT('Item Scores'!D16,'Item Scores'!O16,'Item Scores'!Y16,'Item Scores'!AA16,'Item Scores'!AC16,'Item Scores'!AI16,'Item Scores'!AK16,'Item Scores'!AN16,'Item Scores'!AP16)*9,0))</x:f>
        <x:v>3</x:v>
      </x:c>
      <x:c r="F19" s="36" t="n">
        <x:f>IF(COUNT('Item Scores'!C16,'Item Scores'!G16,'Item Scores'!L16,'Item Scores'!P16,'Item Scores'!T16,'Item Scores'!V16,'Item Scores'!Z16,'Item Scores'!AD16,'Item Scores'!AO16,'Item Scores'!AV16)&lt;8,"",ROUND(SUM('Item Scores'!C16,'Item Scores'!G16,'Item Scores'!L16,'Item Scores'!P16,'Item Scores'!T16,'Item Scores'!V16,'Item Scores'!Z16,'Item Scores'!AD16,'Item Scores'!AO16,'Item Scores'!AV16)/COUNT('Item Scores'!C16,'Item Scores'!G16,'Item Scores'!L16,'Item Scores'!P16,'Item Scores'!T16,'Item Scores'!V16,'Item Scores'!Z16,'Item Scores'!AD16,'Item Scores'!AO16,'Item Scores'!AV16)*10,0))</x:f>
        <x:v>3</x:v>
      </x:c>
      <x:c r="G19" s="36" t="n">
        <x:f>IF(COUNT('Item Scores'!F16,'Item Scores'!J16,'Item Scores'!R16,'Item Scores'!S16,'Item Scores'!AH16,'Item Scores'!AT16,'Item Scores'!AU16)&lt;5,"",ROUND(SUM('Item Scores'!F16,'Item Scores'!J16,'Item Scores'!R16,'Item Scores'!S16,'Item Scores'!AH16,'Item Scores'!AT16,'Item Scores'!AU16)/COUNT('Item Scores'!F16,'Item Scores'!J16,'Item Scores'!R16,'Item Scores'!S16,'Item Scores'!AH16,'Item Scores'!AT16,'Item Scores'!AU16)*7,0))</x:f>
        <x:v>1</x:v>
      </x:c>
      <x:c r="H19" s="36" t="n">
        <x:f>IF(COUNT('Item Scores'!B16,'Item Scores'!N16,'Item Scores'!W16,'Item Scores'!AB16,'Item Scores'!AJ16,'Item Scores'!AL16)&lt;4,"",ROUND(SUM('Item Scores'!B16,'Item Scores'!N16,'Item Scores'!W16,'Item Scores'!AB16,'Item Scores'!AJ16,'Item Scores'!AL16)/COUNT('Item Scores'!B16,'Item Scores'!N16,'Item Scores'!W16,'Item Scores'!AB16,'Item Scores'!AJ16,'Item Scores'!AL16)*6,0))</x:f>
        <x:v>4</x:v>
      </x:c>
      <x:c r="I19" s="36" t="n">
        <x:f>IF(COUNT('Item Scores'!K16,'Item Scores'!Q16,'Item Scores'!X16,'Item Scores'!AF16,'Item Scores'!AQ16,'Item Scores'!AS16)&lt;4,"",ROUND(SUM('Item Scores'!K16,'Item Scores'!Q16,'Item Scores'!X16,'Item Scores'!AF16,'Item Scores'!AQ16,'Item Scores'!AS16)/COUNT('Item Scores'!K16,'Item Scores'!Q16,'Item Scores'!X16,'Item Scores'!AF16,'Item Scores'!AQ16,'Item Scores'!AS16)*6,0))</x:f>
        <x:v>2</x:v>
      </x:c>
      <x:c r="J19" s="37" t="n">
        <x:f>IF(OR($Q19="",$C19=""),"",IFERROR(VLOOKUP($Q19&amp;"|"&amp;$C19&amp;"|SP|"&amp;D19,'Norm Tables'!$A$2:$F$589,6,FALSE),""))</x:f>
        <x:v>44</x:v>
      </x:c>
      <x:c r="K19" s="36" t="n">
        <x:f>IF(OR($Q19="",$C19=""),"",IFERROR(VLOOKUP($Q19&amp;"|"&amp;$C19&amp;"|PD|"&amp;E19,'Norm Tables'!$A$2:$F$589,6,FALSE),""))</x:f>
        <x:v>48</x:v>
      </x:c>
      <x:c r="L19" s="36" t="n">
        <x:f>IF(OR($Q19="",$C19=""),"",IFERROR(VLOOKUP($Q19&amp;"|"&amp;$C19&amp;"|MDD|"&amp;F19,'Norm Tables'!$A$2:$F$589,6,FALSE),""))</x:f>
        <x:v>39</x:v>
      </x:c>
      <x:c r="M19" s="36" t="n">
        <x:f>IF(OR($Q19="",$C19=""),"",IFERROR(VLOOKUP($Q19&amp;"|"&amp;$C19&amp;"|SAD|"&amp;G19,'Norm Tables'!$A$2:$F$589,6,FALSE),""))</x:f>
        <x:v>44</x:v>
      </x:c>
      <x:c r="N19" s="36" t="n">
        <x:f>IF(OR($Q19="",$C19=""),"",IFERROR(VLOOKUP($Q19&amp;"|"&amp;$C19&amp;"|GAD|"&amp;H19,'Norm Tables'!$A$2:$F$589,6,FALSE),""))</x:f>
        <x:v>40</x:v>
      </x:c>
      <x:c r="O19" s="36" t="n">
        <x:f>IF(OR($Q19="",$C19=""),"",IFERROR(VLOOKUP($Q19&amp;"|"&amp;$C19&amp;"|OCD|"&amp;I19,'Norm Tables'!$A$2:$F$589,6,FALSE),""))</x:f>
        <x:v>41</x:v>
      </x:c>
      <x:c r="P19" s="37" t="n">
        <x:f>IF(B19="","",B19-6)</x:f>
        <x:v>9</x:v>
      </x:c>
      <x:c r="Q19" s="36" t="str">
        <x:f>IF(P19="","",IF(OR(P19=7,P19=8),"7-8",IF(OR(P19=9,P19=10),"9-10","")))</x:f>
        <x:v>9-10</x:v>
      </x:c>
      <x:c r="R19" s="36" t="n">
        <x:f>COUNTBLANK('Item Scores'!B16:AV16)</x:f>
        <x:v>0</x:v>
      </x:c>
      <x:c r="S19" s="31" t="str">
        <x:f>IF(OR(B19="",C19=""),"Raw scores available; T-scores not calculated because age/sex is missing",IF(R19=0,"Complete",IF(R19&lt;=2,"Missing item(s); affected subscale score prorated","Review missing responses")))</x:f>
        <x:v>Complete</x:v>
      </x:c>
    </x:row>
    <x:row r="20">
      <x:c r="A20" s="22" t="str">
        <x:v>P16</x:v>
      </x:c>
      <x:c r="B20" s="35" t="n">
        <x:v>14</x:v>
      </x:c>
      <x:c r="C20" s="22" t="str">
        <x:v>Male</x:v>
      </x:c>
      <x:c r="D20" s="38" t="n">
        <x:f>IF(COUNT('Item Scores'!E17,'Item Scores'!H17,'Item Scores'!I17,'Item Scores'!M17,'Item Scores'!U17,'Item Scores'!AE17,'Item Scores'!AG17,'Item Scores'!AM17,'Item Scores'!AR17)&lt;7,"",ROUND(SUM('Item Scores'!E17,'Item Scores'!H17,'Item Scores'!I17,'Item Scores'!M17,'Item Scores'!U17,'Item Scores'!AE17,'Item Scores'!AG17,'Item Scores'!AM17,'Item Scores'!AR17)/COUNT('Item Scores'!E17,'Item Scores'!H17,'Item Scores'!I17,'Item Scores'!M17,'Item Scores'!U17,'Item Scores'!AE17,'Item Scores'!AG17,'Item Scores'!AM17,'Item Scores'!AR17)*9,0))</x:f>
        <x:v>15</x:v>
      </x:c>
      <x:c r="E20" s="38" t="n">
        <x:f>IF(COUNT('Item Scores'!D17,'Item Scores'!O17,'Item Scores'!Y17,'Item Scores'!AA17,'Item Scores'!AC17,'Item Scores'!AI17,'Item Scores'!AK17,'Item Scores'!AN17,'Item Scores'!AP17)&lt;7,"",ROUND(SUM('Item Scores'!D17,'Item Scores'!O17,'Item Scores'!Y17,'Item Scores'!AA17,'Item Scores'!AC17,'Item Scores'!AI17,'Item Scores'!AK17,'Item Scores'!AN17,'Item Scores'!AP17)/COUNT('Item Scores'!D17,'Item Scores'!O17,'Item Scores'!Y17,'Item Scores'!AA17,'Item Scores'!AC17,'Item Scores'!AI17,'Item Scores'!AK17,'Item Scores'!AN17,'Item Scores'!AP17)*9,0))</x:f>
        <x:v>0</x:v>
      </x:c>
      <x:c r="F20" s="38" t="n">
        <x:f>IF(COUNT('Item Scores'!C17,'Item Scores'!G17,'Item Scores'!L17,'Item Scores'!P17,'Item Scores'!T17,'Item Scores'!V17,'Item Scores'!Z17,'Item Scores'!AD17,'Item Scores'!AO17,'Item Scores'!AV17)&lt;8,"",ROUND(SUM('Item Scores'!C17,'Item Scores'!G17,'Item Scores'!L17,'Item Scores'!P17,'Item Scores'!T17,'Item Scores'!V17,'Item Scores'!Z17,'Item Scores'!AD17,'Item Scores'!AO17,'Item Scores'!AV17)/COUNT('Item Scores'!C17,'Item Scores'!G17,'Item Scores'!L17,'Item Scores'!P17,'Item Scores'!T17,'Item Scores'!V17,'Item Scores'!Z17,'Item Scores'!AD17,'Item Scores'!AO17,'Item Scores'!AV17)*10,0))</x:f>
        <x:v>4</x:v>
      </x:c>
      <x:c r="G20" s="38" t="n">
        <x:f>IF(COUNT('Item Scores'!F17,'Item Scores'!J17,'Item Scores'!R17,'Item Scores'!S17,'Item Scores'!AH17,'Item Scores'!AT17,'Item Scores'!AU17)&lt;5,"",ROUND(SUM('Item Scores'!F17,'Item Scores'!J17,'Item Scores'!R17,'Item Scores'!S17,'Item Scores'!AH17,'Item Scores'!AT17,'Item Scores'!AU17)/COUNT('Item Scores'!F17,'Item Scores'!J17,'Item Scores'!R17,'Item Scores'!S17,'Item Scores'!AH17,'Item Scores'!AT17,'Item Scores'!AU17)*7,0))</x:f>
        <x:v>3</x:v>
      </x:c>
      <x:c r="H20" s="38" t="n">
        <x:f>IF(COUNT('Item Scores'!B17,'Item Scores'!N17,'Item Scores'!W17,'Item Scores'!AB17,'Item Scores'!AJ17,'Item Scores'!AL17)&lt;4,"",ROUND(SUM('Item Scores'!B17,'Item Scores'!N17,'Item Scores'!W17,'Item Scores'!AB17,'Item Scores'!AJ17,'Item Scores'!AL17)/COUNT('Item Scores'!B17,'Item Scores'!N17,'Item Scores'!W17,'Item Scores'!AB17,'Item Scores'!AJ17,'Item Scores'!AL17)*6,0))</x:f>
        <x:v>15</x:v>
      </x:c>
      <x:c r="I20" s="38" t="n">
        <x:f>IF(COUNT('Item Scores'!K17,'Item Scores'!Q17,'Item Scores'!X17,'Item Scores'!AF17,'Item Scores'!AQ17,'Item Scores'!AS17)&lt;4,"",ROUND(SUM('Item Scores'!K17,'Item Scores'!Q17,'Item Scores'!X17,'Item Scores'!AF17,'Item Scores'!AQ17,'Item Scores'!AS17)/COUNT('Item Scores'!K17,'Item Scores'!Q17,'Item Scores'!X17,'Item Scores'!AF17,'Item Scores'!AQ17,'Item Scores'!AS17)*6,0))</x:f>
        <x:v>3</x:v>
      </x:c>
      <x:c r="J20" s="39" t="n">
        <x:f>IF(OR($Q20="",$C20=""),"",IFERROR(VLOOKUP($Q20&amp;"|"&amp;$C20&amp;"|SP|"&amp;D20,'Norm Tables'!$A$2:$F$589,6,FALSE),""))</x:f>
        <x:v>58</x:v>
      </x:c>
      <x:c r="K20" s="38" t="n">
        <x:f>IF(OR($Q20="",$C20=""),"",IFERROR(VLOOKUP($Q20&amp;"|"&amp;$C20&amp;"|PD|"&amp;E20,'Norm Tables'!$A$2:$F$589,6,FALSE),""))</x:f>
        <x:v>39</x:v>
      </x:c>
      <x:c r="L20" s="38" t="n">
        <x:f>IF(OR($Q20="",$C20=""),"",IFERROR(VLOOKUP($Q20&amp;"|"&amp;$C20&amp;"|MDD|"&amp;F20,'Norm Tables'!$A$2:$F$589,6,FALSE),""))</x:f>
        <x:v>43</x:v>
      </x:c>
      <x:c r="M20" s="38" t="n">
        <x:f>IF(OR($Q20="",$C20=""),"",IFERROR(VLOOKUP($Q20&amp;"|"&amp;$C20&amp;"|SAD|"&amp;G20,'Norm Tables'!$A$2:$F$589,6,FALSE),""))</x:f>
        <x:v>53</x:v>
      </x:c>
      <x:c r="N20" s="38" t="n">
        <x:f>IF(OR($Q20="",$C20=""),"",IFERROR(VLOOKUP($Q20&amp;"|"&amp;$C20&amp;"|GAD|"&amp;H20,'Norm Tables'!$A$2:$F$589,6,FALSE),""))</x:f>
        <x:v>78</x:v>
      </x:c>
      <x:c r="O20" s="38" t="n">
        <x:f>IF(OR($Q20="",$C20=""),"",IFERROR(VLOOKUP($Q20&amp;"|"&amp;$C20&amp;"|OCD|"&amp;I20,'Norm Tables'!$A$2:$F$589,6,FALSE),""))</x:f>
        <x:v>43</x:v>
      </x:c>
      <x:c r="P20" s="39" t="n">
        <x:f>IF(B20="","",B20-6)</x:f>
        <x:v>8</x:v>
      </x:c>
      <x:c r="Q20" s="38" t="str">
        <x:f>IF(P20="","",IF(OR(P20=7,P20=8),"7-8",IF(OR(P20=9,P20=10),"9-10","")))</x:f>
        <x:v>7-8</x:v>
      </x:c>
      <x:c r="R20" s="38" t="n">
        <x:f>COUNTBLANK('Item Scores'!B17:AV17)</x:f>
        <x:v>0</x:v>
      </x:c>
      <x:c r="S20" s="32" t="str">
        <x:f>IF(OR(B20="",C20=""),"Raw scores available; T-scores not calculated because age/sex is missing",IF(R20=0,"Complete",IF(R20&lt;=2,"Missing item(s); affected subscale score prorated","Review missing responses")))</x:f>
        <x:v>Complete</x:v>
      </x:c>
    </x:row>
    <x:row r="21">
      <x:c r="A21" s="21" t="str">
        <x:v>P17</x:v>
      </x:c>
      <x:c r="B21" s="34" t="n">
        <x:v>14</x:v>
      </x:c>
      <x:c r="C21" s="21" t="str">
        <x:v>Male</x:v>
      </x:c>
      <x:c r="D21" s="36" t="n">
        <x:f>IF(COUNT('Item Scores'!E18,'Item Scores'!H18,'Item Scores'!I18,'Item Scores'!M18,'Item Scores'!U18,'Item Scores'!AE18,'Item Scores'!AG18,'Item Scores'!AM18,'Item Scores'!AR18)&lt;7,"",ROUND(SUM('Item Scores'!E18,'Item Scores'!H18,'Item Scores'!I18,'Item Scores'!M18,'Item Scores'!U18,'Item Scores'!AE18,'Item Scores'!AG18,'Item Scores'!AM18,'Item Scores'!AR18)/COUNT('Item Scores'!E18,'Item Scores'!H18,'Item Scores'!I18,'Item Scores'!M18,'Item Scores'!U18,'Item Scores'!AE18,'Item Scores'!AG18,'Item Scores'!AM18,'Item Scores'!AR18)*9,0))</x:f>
        <x:v>7</x:v>
      </x:c>
      <x:c r="E21" s="36" t="n">
        <x:f>IF(COUNT('Item Scores'!D18,'Item Scores'!O18,'Item Scores'!Y18,'Item Scores'!AA18,'Item Scores'!AC18,'Item Scores'!AI18,'Item Scores'!AK18,'Item Scores'!AN18,'Item Scores'!AP18)&lt;7,"",ROUND(SUM('Item Scores'!D18,'Item Scores'!O18,'Item Scores'!Y18,'Item Scores'!AA18,'Item Scores'!AC18,'Item Scores'!AI18,'Item Scores'!AK18,'Item Scores'!AN18,'Item Scores'!AP18)/COUNT('Item Scores'!D18,'Item Scores'!O18,'Item Scores'!Y18,'Item Scores'!AA18,'Item Scores'!AC18,'Item Scores'!AI18,'Item Scores'!AK18,'Item Scores'!AN18,'Item Scores'!AP18)*9,0))</x:f>
        <x:v>1</x:v>
      </x:c>
      <x:c r="F21" s="36" t="n">
        <x:f>IF(COUNT('Item Scores'!C18,'Item Scores'!G18,'Item Scores'!L18,'Item Scores'!P18,'Item Scores'!T18,'Item Scores'!V18,'Item Scores'!Z18,'Item Scores'!AD18,'Item Scores'!AO18,'Item Scores'!AV18)&lt;8,"",ROUND(SUM('Item Scores'!C18,'Item Scores'!G18,'Item Scores'!L18,'Item Scores'!P18,'Item Scores'!T18,'Item Scores'!V18,'Item Scores'!Z18,'Item Scores'!AD18,'Item Scores'!AO18,'Item Scores'!AV18)/COUNT('Item Scores'!C18,'Item Scores'!G18,'Item Scores'!L18,'Item Scores'!P18,'Item Scores'!T18,'Item Scores'!V18,'Item Scores'!Z18,'Item Scores'!AD18,'Item Scores'!AO18,'Item Scores'!AV18)*10,0))</x:f>
        <x:v>7</x:v>
      </x:c>
      <x:c r="G21" s="36" t="n">
        <x:f>IF(COUNT('Item Scores'!F18,'Item Scores'!J18,'Item Scores'!R18,'Item Scores'!S18,'Item Scores'!AH18,'Item Scores'!AT18,'Item Scores'!AU18)&lt;5,"",ROUND(SUM('Item Scores'!F18,'Item Scores'!J18,'Item Scores'!R18,'Item Scores'!S18,'Item Scores'!AH18,'Item Scores'!AT18,'Item Scores'!AU18)/COUNT('Item Scores'!F18,'Item Scores'!J18,'Item Scores'!R18,'Item Scores'!S18,'Item Scores'!AH18,'Item Scores'!AT18,'Item Scores'!AU18)*7,0))</x:f>
        <x:v>3</x:v>
      </x:c>
      <x:c r="H21" s="36" t="n">
        <x:f>IF(COUNT('Item Scores'!B18,'Item Scores'!N18,'Item Scores'!W18,'Item Scores'!AB18,'Item Scores'!AJ18,'Item Scores'!AL18)&lt;4,"",ROUND(SUM('Item Scores'!B18,'Item Scores'!N18,'Item Scores'!W18,'Item Scores'!AB18,'Item Scores'!AJ18,'Item Scores'!AL18)/COUNT('Item Scores'!B18,'Item Scores'!N18,'Item Scores'!W18,'Item Scores'!AB18,'Item Scores'!AJ18,'Item Scores'!AL18)*6,0))</x:f>
        <x:v>4</x:v>
      </x:c>
      <x:c r="I21" s="36" t="n">
        <x:f>IF(COUNT('Item Scores'!K18,'Item Scores'!Q18,'Item Scores'!X18,'Item Scores'!AF18,'Item Scores'!AQ18,'Item Scores'!AS18)&lt;4,"",ROUND(SUM('Item Scores'!K18,'Item Scores'!Q18,'Item Scores'!X18,'Item Scores'!AF18,'Item Scores'!AQ18,'Item Scores'!AS18)/COUNT('Item Scores'!K18,'Item Scores'!Q18,'Item Scores'!X18,'Item Scores'!AF18,'Item Scores'!AQ18,'Item Scores'!AS18)*6,0))</x:f>
        <x:v>2</x:v>
      </x:c>
      <x:c r="J21" s="37" t="n">
        <x:f>IF(OR($Q21="",$C21=""),"",IFERROR(VLOOKUP($Q21&amp;"|"&amp;$C21&amp;"|SP|"&amp;D21,'Norm Tables'!$A$2:$F$589,6,FALSE),""))</x:f>
        <x:v>41</x:v>
      </x:c>
      <x:c r="K21" s="36" t="n">
        <x:f>IF(OR($Q21="",$C21=""),"",IFERROR(VLOOKUP($Q21&amp;"|"&amp;$C21&amp;"|PD|"&amp;E21,'Norm Tables'!$A$2:$F$589,6,FALSE),""))</x:f>
        <x:v>42</x:v>
      </x:c>
      <x:c r="L21" s="36" t="n">
        <x:f>IF(OR($Q21="",$C21=""),"",IFERROR(VLOOKUP($Q21&amp;"|"&amp;$C21&amp;"|MDD|"&amp;F21,'Norm Tables'!$A$2:$F$589,6,FALSE),""))</x:f>
        <x:v>51</x:v>
      </x:c>
      <x:c r="M21" s="36" t="n">
        <x:f>IF(OR($Q21="",$C21=""),"",IFERROR(VLOOKUP($Q21&amp;"|"&amp;$C21&amp;"|SAD|"&amp;G21,'Norm Tables'!$A$2:$F$589,6,FALSE),""))</x:f>
        <x:v>53</x:v>
      </x:c>
      <x:c r="N21" s="36" t="n">
        <x:f>IF(OR($Q21="",$C21=""),"",IFERROR(VLOOKUP($Q21&amp;"|"&amp;$C21&amp;"|GAD|"&amp;H21,'Norm Tables'!$A$2:$F$589,6,FALSE),""))</x:f>
        <x:v>43</x:v>
      </x:c>
      <x:c r="O21" s="36" t="n">
        <x:f>IF(OR($Q21="",$C21=""),"",IFERROR(VLOOKUP($Q21&amp;"|"&amp;$C21&amp;"|OCD|"&amp;I21,'Norm Tables'!$A$2:$F$589,6,FALSE),""))</x:f>
        <x:v>41</x:v>
      </x:c>
      <x:c r="P21" s="37" t="n">
        <x:f>IF(B21="","",B21-6)</x:f>
        <x:v>8</x:v>
      </x:c>
      <x:c r="Q21" s="36" t="str">
        <x:f>IF(P21="","",IF(OR(P21=7,P21=8),"7-8",IF(OR(P21=9,P21=10),"9-10","")))</x:f>
        <x:v>7-8</x:v>
      </x:c>
      <x:c r="R21" s="36" t="n">
        <x:f>COUNTBLANK('Item Scores'!B18:AV18)</x:f>
        <x:v>0</x:v>
      </x:c>
      <x:c r="S21" s="31" t="str">
        <x:f>IF(OR(B21="",C21=""),"Raw scores available; T-scores not calculated because age/sex is missing",IF(R21=0,"Complete",IF(R21&lt;=2,"Missing item(s); affected subscale score prorated","Review missing responses")))</x:f>
        <x:v>Complete</x:v>
      </x:c>
    </x:row>
    <x:row r="22">
      <x:c r="A22" s="22" t="str">
        <x:v>P18</x:v>
      </x:c>
      <x:c r="B22" s="35" t="n">
        <x:v>14</x:v>
      </x:c>
      <x:c r="C22" s="22" t="str">
        <x:v>Female</x:v>
      </x:c>
      <x:c r="D22" s="38" t="n">
        <x:f>IF(COUNT('Item Scores'!E19,'Item Scores'!H19,'Item Scores'!I19,'Item Scores'!M19,'Item Scores'!U19,'Item Scores'!AE19,'Item Scores'!AG19,'Item Scores'!AM19,'Item Scores'!AR19)&lt;7,"",ROUND(SUM('Item Scores'!E19,'Item Scores'!H19,'Item Scores'!I19,'Item Scores'!M19,'Item Scores'!U19,'Item Scores'!AE19,'Item Scores'!AG19,'Item Scores'!AM19,'Item Scores'!AR19)/COUNT('Item Scores'!E19,'Item Scores'!H19,'Item Scores'!I19,'Item Scores'!M19,'Item Scores'!U19,'Item Scores'!AE19,'Item Scores'!AG19,'Item Scores'!AM19,'Item Scores'!AR19)*9,0))</x:f>
        <x:v>17</x:v>
      </x:c>
      <x:c r="E22" s="38" t="n">
        <x:f>IF(COUNT('Item Scores'!D19,'Item Scores'!O19,'Item Scores'!Y19,'Item Scores'!AA19,'Item Scores'!AC19,'Item Scores'!AI19,'Item Scores'!AK19,'Item Scores'!AN19,'Item Scores'!AP19)&lt;7,"",ROUND(SUM('Item Scores'!D19,'Item Scores'!O19,'Item Scores'!Y19,'Item Scores'!AA19,'Item Scores'!AC19,'Item Scores'!AI19,'Item Scores'!AK19,'Item Scores'!AN19,'Item Scores'!AP19)/COUNT('Item Scores'!D19,'Item Scores'!O19,'Item Scores'!Y19,'Item Scores'!AA19,'Item Scores'!AC19,'Item Scores'!AI19,'Item Scores'!AK19,'Item Scores'!AN19,'Item Scores'!AP19)*9,0))</x:f>
        <x:v>5</x:v>
      </x:c>
      <x:c r="F22" s="38" t="n">
        <x:f>IF(COUNT('Item Scores'!C19,'Item Scores'!G19,'Item Scores'!L19,'Item Scores'!P19,'Item Scores'!T19,'Item Scores'!V19,'Item Scores'!Z19,'Item Scores'!AD19,'Item Scores'!AO19,'Item Scores'!AV19)&lt;8,"",ROUND(SUM('Item Scores'!C19,'Item Scores'!G19,'Item Scores'!L19,'Item Scores'!P19,'Item Scores'!T19,'Item Scores'!V19,'Item Scores'!Z19,'Item Scores'!AD19,'Item Scores'!AO19,'Item Scores'!AV19)/COUNT('Item Scores'!C19,'Item Scores'!G19,'Item Scores'!L19,'Item Scores'!P19,'Item Scores'!T19,'Item Scores'!V19,'Item Scores'!Z19,'Item Scores'!AD19,'Item Scores'!AO19,'Item Scores'!AV19)*10,0))</x:f>
        <x:v>7</x:v>
      </x:c>
      <x:c r="G22" s="38" t="n">
        <x:f>IF(COUNT('Item Scores'!F19,'Item Scores'!J19,'Item Scores'!R19,'Item Scores'!S19,'Item Scores'!AH19,'Item Scores'!AT19,'Item Scores'!AU19)&lt;5,"",ROUND(SUM('Item Scores'!F19,'Item Scores'!J19,'Item Scores'!R19,'Item Scores'!S19,'Item Scores'!AH19,'Item Scores'!AT19,'Item Scores'!AU19)/COUNT('Item Scores'!F19,'Item Scores'!J19,'Item Scores'!R19,'Item Scores'!S19,'Item Scores'!AH19,'Item Scores'!AT19,'Item Scores'!AU19)*7,0))</x:f>
        <x:v>3</x:v>
      </x:c>
      <x:c r="H22" s="38" t="n">
        <x:f>IF(COUNT('Item Scores'!B19,'Item Scores'!N19,'Item Scores'!W19,'Item Scores'!AB19,'Item Scores'!AJ19,'Item Scores'!AL19)&lt;4,"",ROUND(SUM('Item Scores'!B19,'Item Scores'!N19,'Item Scores'!W19,'Item Scores'!AB19,'Item Scores'!AJ19,'Item Scores'!AL19)/COUNT('Item Scores'!B19,'Item Scores'!N19,'Item Scores'!W19,'Item Scores'!AB19,'Item Scores'!AJ19,'Item Scores'!AL19)*6,0))</x:f>
        <x:v>6</x:v>
      </x:c>
      <x:c r="I22" s="38" t="n">
        <x:f>IF(COUNT('Item Scores'!K19,'Item Scores'!Q19,'Item Scores'!X19,'Item Scores'!AF19,'Item Scores'!AQ19,'Item Scores'!AS19)&lt;4,"",ROUND(SUM('Item Scores'!K19,'Item Scores'!Q19,'Item Scores'!X19,'Item Scores'!AF19,'Item Scores'!AQ19,'Item Scores'!AS19)/COUNT('Item Scores'!K19,'Item Scores'!Q19,'Item Scores'!X19,'Item Scores'!AF19,'Item Scores'!AQ19,'Item Scores'!AS19)*6,0))</x:f>
        <x:v>1</x:v>
      </x:c>
      <x:c r="J22" s="39" t="n">
        <x:f>IF(OR($Q22="",$C22=""),"",IFERROR(VLOOKUP($Q22&amp;"|"&amp;$C22&amp;"|SP|"&amp;D22,'Norm Tables'!$A$2:$F$589,6,FALSE),""))</x:f>
        <x:v>58</x:v>
      </x:c>
      <x:c r="K22" s="38" t="n">
        <x:f>IF(OR($Q22="",$C22=""),"",IFERROR(VLOOKUP($Q22&amp;"|"&amp;$C22&amp;"|PD|"&amp;E22,'Norm Tables'!$A$2:$F$589,6,FALSE),""))</x:f>
        <x:v>50</x:v>
      </x:c>
      <x:c r="L22" s="38" t="n">
        <x:f>IF(OR($Q22="",$C22=""),"",IFERROR(VLOOKUP($Q22&amp;"|"&amp;$C22&amp;"|MDD|"&amp;F22,'Norm Tables'!$A$2:$F$589,6,FALSE),""))</x:f>
        <x:v>48</x:v>
      </x:c>
      <x:c r="M22" s="38" t="n">
        <x:f>IF(OR($Q22="",$C22=""),"",IFERROR(VLOOKUP($Q22&amp;"|"&amp;$C22&amp;"|SAD|"&amp;G22,'Norm Tables'!$A$2:$F$589,6,FALSE),""))</x:f>
        <x:v>50</x:v>
      </x:c>
      <x:c r="N22" s="38" t="n">
        <x:f>IF(OR($Q22="",$C22=""),"",IFERROR(VLOOKUP($Q22&amp;"|"&amp;$C22&amp;"|GAD|"&amp;H22,'Norm Tables'!$A$2:$F$589,6,FALSE),""))</x:f>
        <x:v>46</x:v>
      </x:c>
      <x:c r="O22" s="38" t="n">
        <x:f>IF(OR($Q22="",$C22=""),"",IFERROR(VLOOKUP($Q22&amp;"|"&amp;$C22&amp;"|OCD|"&amp;I22,'Norm Tables'!$A$2:$F$589,6,FALSE),""))</x:f>
        <x:v>38</x:v>
      </x:c>
      <x:c r="P22" s="39" t="n">
        <x:f>IF(B22="","",B22-6)</x:f>
        <x:v>8</x:v>
      </x:c>
      <x:c r="Q22" s="38" t="str">
        <x:f>IF(P22="","",IF(OR(P22=7,P22=8),"7-8",IF(OR(P22=9,P22=10),"9-10","")))</x:f>
        <x:v>7-8</x:v>
      </x:c>
      <x:c r="R22" s="38" t="n">
        <x:f>COUNTBLANK('Item Scores'!B19:AV19)</x:f>
        <x:v>0</x:v>
      </x:c>
      <x:c r="S22" s="32" t="str">
        <x:f>IF(OR(B22="",C22=""),"Raw scores available; T-scores not calculated because age/sex is missing",IF(R22=0,"Complete",IF(R22&lt;=2,"Missing item(s); affected subscale score prorated","Review missing responses")))</x:f>
        <x:v>Complete</x:v>
      </x:c>
    </x:row>
    <x:row r="23">
      <x:c r="A23" s="21" t="str">
        <x:v>P19</x:v>
      </x:c>
      <x:c r="B23" s="34" t="n">
        <x:v>14</x:v>
      </x:c>
      <x:c r="C23" s="21" t="str">
        <x:v>Female</x:v>
      </x:c>
      <x:c r="D23" s="36" t="n">
        <x:f>IF(COUNT('Item Scores'!E20,'Item Scores'!H20,'Item Scores'!I20,'Item Scores'!M20,'Item Scores'!U20,'Item Scores'!AE20,'Item Scores'!AG20,'Item Scores'!AM20,'Item Scores'!AR20)&lt;7,"",ROUND(SUM('Item Scores'!E20,'Item Scores'!H20,'Item Scores'!I20,'Item Scores'!M20,'Item Scores'!U20,'Item Scores'!AE20,'Item Scores'!AG20,'Item Scores'!AM20,'Item Scores'!AR20)/COUNT('Item Scores'!E20,'Item Scores'!H20,'Item Scores'!I20,'Item Scores'!M20,'Item Scores'!U20,'Item Scores'!AE20,'Item Scores'!AG20,'Item Scores'!AM20,'Item Scores'!AR20)*9,0))</x:f>
        <x:v>11</x:v>
      </x:c>
      <x:c r="E23" s="36" t="n">
        <x:f>IF(COUNT('Item Scores'!D20,'Item Scores'!O20,'Item Scores'!Y20,'Item Scores'!AA20,'Item Scores'!AC20,'Item Scores'!AI20,'Item Scores'!AK20,'Item Scores'!AN20,'Item Scores'!AP20)&lt;7,"",ROUND(SUM('Item Scores'!D20,'Item Scores'!O20,'Item Scores'!Y20,'Item Scores'!AA20,'Item Scores'!AC20,'Item Scores'!AI20,'Item Scores'!AK20,'Item Scores'!AN20,'Item Scores'!AP20)/COUNT('Item Scores'!D20,'Item Scores'!O20,'Item Scores'!Y20,'Item Scores'!AA20,'Item Scores'!AC20,'Item Scores'!AI20,'Item Scores'!AK20,'Item Scores'!AN20,'Item Scores'!AP20)*9,0))</x:f>
        <x:v>6</x:v>
      </x:c>
      <x:c r="F23" s="36" t="n">
        <x:f>IF(COUNT('Item Scores'!C20,'Item Scores'!G20,'Item Scores'!L20,'Item Scores'!P20,'Item Scores'!T20,'Item Scores'!V20,'Item Scores'!Z20,'Item Scores'!AD20,'Item Scores'!AO20,'Item Scores'!AV20)&lt;8,"",ROUND(SUM('Item Scores'!C20,'Item Scores'!G20,'Item Scores'!L20,'Item Scores'!P20,'Item Scores'!T20,'Item Scores'!V20,'Item Scores'!Z20,'Item Scores'!AD20,'Item Scores'!AO20,'Item Scores'!AV20)/COUNT('Item Scores'!C20,'Item Scores'!G20,'Item Scores'!L20,'Item Scores'!P20,'Item Scores'!T20,'Item Scores'!V20,'Item Scores'!Z20,'Item Scores'!AD20,'Item Scores'!AO20,'Item Scores'!AV20)*10,0))</x:f>
        <x:v>11</x:v>
      </x:c>
      <x:c r="G23" s="36" t="n">
        <x:f>IF(COUNT('Item Scores'!F20,'Item Scores'!J20,'Item Scores'!R20,'Item Scores'!S20,'Item Scores'!AH20,'Item Scores'!AT20,'Item Scores'!AU20)&lt;5,"",ROUND(SUM('Item Scores'!F20,'Item Scores'!J20,'Item Scores'!R20,'Item Scores'!S20,'Item Scores'!AH20,'Item Scores'!AT20,'Item Scores'!AU20)/COUNT('Item Scores'!F20,'Item Scores'!J20,'Item Scores'!R20,'Item Scores'!S20,'Item Scores'!AH20,'Item Scores'!AT20,'Item Scores'!AU20)*7,0))</x:f>
        <x:v>1</x:v>
      </x:c>
      <x:c r="H23" s="36" t="n">
        <x:f>IF(COUNT('Item Scores'!B20,'Item Scores'!N20,'Item Scores'!W20,'Item Scores'!AB20,'Item Scores'!AJ20,'Item Scores'!AL20)&lt;4,"",ROUND(SUM('Item Scores'!B20,'Item Scores'!N20,'Item Scores'!W20,'Item Scores'!AB20,'Item Scores'!AJ20,'Item Scores'!AL20)/COUNT('Item Scores'!B20,'Item Scores'!N20,'Item Scores'!W20,'Item Scores'!AB20,'Item Scores'!AJ20,'Item Scores'!AL20)*6,0))</x:f>
        <x:v>3</x:v>
      </x:c>
      <x:c r="I23" s="36" t="n">
        <x:f>IF(COUNT('Item Scores'!K20,'Item Scores'!Q20,'Item Scores'!X20,'Item Scores'!AF20,'Item Scores'!AQ20,'Item Scores'!AS20)&lt;4,"",ROUND(SUM('Item Scores'!K20,'Item Scores'!Q20,'Item Scores'!X20,'Item Scores'!AF20,'Item Scores'!AQ20,'Item Scores'!AS20)/COUNT('Item Scores'!K20,'Item Scores'!Q20,'Item Scores'!X20,'Item Scores'!AF20,'Item Scores'!AQ20,'Item Scores'!AS20)*6,0))</x:f>
        <x:v>1</x:v>
      </x:c>
      <x:c r="J23" s="37" t="n">
        <x:f>IF(OR($Q23="",$C23=""),"",IFERROR(VLOOKUP($Q23&amp;"|"&amp;$C23&amp;"|SP|"&amp;D23,'Norm Tables'!$A$2:$F$589,6,FALSE),""))</x:f>
        <x:v>46</x:v>
      </x:c>
      <x:c r="K23" s="36" t="n">
        <x:f>IF(OR($Q23="",$C23=""),"",IFERROR(VLOOKUP($Q23&amp;"|"&amp;$C23&amp;"|PD|"&amp;E23,'Norm Tables'!$A$2:$F$589,6,FALSE),""))</x:f>
        <x:v>52</x:v>
      </x:c>
      <x:c r="L23" s="36" t="n">
        <x:f>IF(OR($Q23="",$C23=""),"",IFERROR(VLOOKUP($Q23&amp;"|"&amp;$C23&amp;"|MDD|"&amp;F23,'Norm Tables'!$A$2:$F$589,6,FALSE),""))</x:f>
        <x:v>58</x:v>
      </x:c>
      <x:c r="M23" s="36" t="n">
        <x:f>IF(OR($Q23="",$C23=""),"",IFERROR(VLOOKUP($Q23&amp;"|"&amp;$C23&amp;"|SAD|"&amp;G23,'Norm Tables'!$A$2:$F$589,6,FALSE),""))</x:f>
        <x:v>43</x:v>
      </x:c>
      <x:c r="N23" s="36" t="n">
        <x:f>IF(OR($Q23="",$C23=""),"",IFERROR(VLOOKUP($Q23&amp;"|"&amp;$C23&amp;"|GAD|"&amp;H23,'Norm Tables'!$A$2:$F$589,6,FALSE),""))</x:f>
        <x:v>36</x:v>
      </x:c>
      <x:c r="O23" s="36" t="n">
        <x:f>IF(OR($Q23="",$C23=""),"",IFERROR(VLOOKUP($Q23&amp;"|"&amp;$C23&amp;"|OCD|"&amp;I23,'Norm Tables'!$A$2:$F$589,6,FALSE),""))</x:f>
        <x:v>38</x:v>
      </x:c>
      <x:c r="P23" s="37" t="n">
        <x:f>IF(B23="","",B23-6)</x:f>
        <x:v>8</x:v>
      </x:c>
      <x:c r="Q23" s="36" t="str">
        <x:f>IF(P23="","",IF(OR(P23=7,P23=8),"7-8",IF(OR(P23=9,P23=10),"9-10","")))</x:f>
        <x:v>7-8</x:v>
      </x:c>
      <x:c r="R23" s="36" t="n">
        <x:f>COUNTBLANK('Item Scores'!B20:AV20)</x:f>
        <x:v>0</x:v>
      </x:c>
      <x:c r="S23" s="31" t="str">
        <x:f>IF(OR(B23="",C23=""),"Raw scores available; T-scores not calculated because age/sex is missing",IF(R23=0,"Complete",IF(R23&lt;=2,"Missing item(s); affected subscale score prorated","Review missing responses")))</x:f>
        <x:v>Complete</x:v>
      </x:c>
    </x:row>
    <x:row r="24">
      <x:c r="A24" s="22" t="str">
        <x:v>P20</x:v>
      </x:c>
      <x:c r="B24" s="35" t="n">
        <x:v>14</x:v>
      </x:c>
      <x:c r="C24" s="22" t="str">
        <x:v>Male</x:v>
      </x:c>
      <x:c r="D24" s="38" t="n">
        <x:f>IF(COUNT('Item Scores'!E21,'Item Scores'!H21,'Item Scores'!I21,'Item Scores'!M21,'Item Scores'!U21,'Item Scores'!AE21,'Item Scores'!AG21,'Item Scores'!AM21,'Item Scores'!AR21)&lt;7,"",ROUND(SUM('Item Scores'!E21,'Item Scores'!H21,'Item Scores'!I21,'Item Scores'!M21,'Item Scores'!U21,'Item Scores'!AE21,'Item Scores'!AG21,'Item Scores'!AM21,'Item Scores'!AR21)/COUNT('Item Scores'!E21,'Item Scores'!H21,'Item Scores'!I21,'Item Scores'!M21,'Item Scores'!U21,'Item Scores'!AE21,'Item Scores'!AG21,'Item Scores'!AM21,'Item Scores'!AR21)*9,0))</x:f>
        <x:v>3</x:v>
      </x:c>
      <x:c r="E24" s="38" t="n">
        <x:f>IF(COUNT('Item Scores'!D21,'Item Scores'!O21,'Item Scores'!Y21,'Item Scores'!AA21,'Item Scores'!AC21,'Item Scores'!AI21,'Item Scores'!AK21,'Item Scores'!AN21,'Item Scores'!AP21)&lt;7,"",ROUND(SUM('Item Scores'!D21,'Item Scores'!O21,'Item Scores'!Y21,'Item Scores'!AA21,'Item Scores'!AC21,'Item Scores'!AI21,'Item Scores'!AK21,'Item Scores'!AN21,'Item Scores'!AP21)/COUNT('Item Scores'!D21,'Item Scores'!O21,'Item Scores'!Y21,'Item Scores'!AA21,'Item Scores'!AC21,'Item Scores'!AI21,'Item Scores'!AK21,'Item Scores'!AN21,'Item Scores'!AP21)*9,0))</x:f>
        <x:v>0</x:v>
      </x:c>
      <x:c r="F24" s="38" t="n">
        <x:f>IF(COUNT('Item Scores'!C21,'Item Scores'!G21,'Item Scores'!L21,'Item Scores'!P21,'Item Scores'!T21,'Item Scores'!V21,'Item Scores'!Z21,'Item Scores'!AD21,'Item Scores'!AO21,'Item Scores'!AV21)&lt;8,"",ROUND(SUM('Item Scores'!C21,'Item Scores'!G21,'Item Scores'!L21,'Item Scores'!P21,'Item Scores'!T21,'Item Scores'!V21,'Item Scores'!Z21,'Item Scores'!AD21,'Item Scores'!AO21,'Item Scores'!AV21)/COUNT('Item Scores'!C21,'Item Scores'!G21,'Item Scores'!L21,'Item Scores'!P21,'Item Scores'!T21,'Item Scores'!V21,'Item Scores'!Z21,'Item Scores'!AD21,'Item Scores'!AO21,'Item Scores'!AV21)*10,0))</x:f>
        <x:v>7</x:v>
      </x:c>
      <x:c r="G24" s="38" t="n">
        <x:f>IF(COUNT('Item Scores'!F21,'Item Scores'!J21,'Item Scores'!R21,'Item Scores'!S21,'Item Scores'!AH21,'Item Scores'!AT21,'Item Scores'!AU21)&lt;5,"",ROUND(SUM('Item Scores'!F21,'Item Scores'!J21,'Item Scores'!R21,'Item Scores'!S21,'Item Scores'!AH21,'Item Scores'!AT21,'Item Scores'!AU21)/COUNT('Item Scores'!F21,'Item Scores'!J21,'Item Scores'!R21,'Item Scores'!S21,'Item Scores'!AH21,'Item Scores'!AT21,'Item Scores'!AU21)*7,0))</x:f>
        <x:v>0</x:v>
      </x:c>
      <x:c r="H24" s="38" t="n">
        <x:f>IF(COUNT('Item Scores'!B21,'Item Scores'!N21,'Item Scores'!W21,'Item Scores'!AB21,'Item Scores'!AJ21,'Item Scores'!AL21)&lt;4,"",ROUND(SUM('Item Scores'!B21,'Item Scores'!N21,'Item Scores'!W21,'Item Scores'!AB21,'Item Scores'!AJ21,'Item Scores'!AL21)/COUNT('Item Scores'!B21,'Item Scores'!N21,'Item Scores'!W21,'Item Scores'!AB21,'Item Scores'!AJ21,'Item Scores'!AL21)*6,0))</x:f>
        <x:v>2</x:v>
      </x:c>
      <x:c r="I24" s="38" t="n">
        <x:f>IF(COUNT('Item Scores'!K21,'Item Scores'!Q21,'Item Scores'!X21,'Item Scores'!AF21,'Item Scores'!AQ21,'Item Scores'!AS21)&lt;4,"",ROUND(SUM('Item Scores'!K21,'Item Scores'!Q21,'Item Scores'!X21,'Item Scores'!AF21,'Item Scores'!AQ21,'Item Scores'!AS21)/COUNT('Item Scores'!K21,'Item Scores'!Q21,'Item Scores'!X21,'Item Scores'!AF21,'Item Scores'!AQ21,'Item Scores'!AS21)*6,0))</x:f>
        <x:v>0</x:v>
      </x:c>
      <x:c r="J24" s="39" t="n">
        <x:f>IF(OR($Q24="",$C24=""),"",IFERROR(VLOOKUP($Q24&amp;"|"&amp;$C24&amp;"|SP|"&amp;D24,'Norm Tables'!$A$2:$F$589,6,FALSE),""))</x:f>
        <x:v>33</x:v>
      </x:c>
      <x:c r="K24" s="38" t="n">
        <x:f>IF(OR($Q24="",$C24=""),"",IFERROR(VLOOKUP($Q24&amp;"|"&amp;$C24&amp;"|PD|"&amp;E24,'Norm Tables'!$A$2:$F$589,6,FALSE),""))</x:f>
        <x:v>39</x:v>
      </x:c>
      <x:c r="L24" s="38" t="n">
        <x:f>IF(OR($Q24="",$C24=""),"",IFERROR(VLOOKUP($Q24&amp;"|"&amp;$C24&amp;"|MDD|"&amp;F24,'Norm Tables'!$A$2:$F$589,6,FALSE),""))</x:f>
        <x:v>51</x:v>
      </x:c>
      <x:c r="M24" s="38" t="n">
        <x:f>IF(OR($Q24="",$C24=""),"",IFERROR(VLOOKUP($Q24&amp;"|"&amp;$C24&amp;"|SAD|"&amp;G24,'Norm Tables'!$A$2:$F$589,6,FALSE),""))</x:f>
        <x:v>41</x:v>
      </x:c>
      <x:c r="N24" s="38" t="n">
        <x:f>IF(OR($Q24="",$C24=""),"",IFERROR(VLOOKUP($Q24&amp;"|"&amp;$C24&amp;"|GAD|"&amp;H24,'Norm Tables'!$A$2:$F$589,6,FALSE),""))</x:f>
        <x:v>37</x:v>
      </x:c>
      <x:c r="O24" s="38" t="n">
        <x:f>IF(OR($Q24="",$C24=""),"",IFERROR(VLOOKUP($Q24&amp;"|"&amp;$C24&amp;"|OCD|"&amp;I24,'Norm Tables'!$A$2:$F$589,6,FALSE),""))</x:f>
        <x:v>35</x:v>
      </x:c>
      <x:c r="P24" s="39" t="n">
        <x:f>IF(B24="","",B24-6)</x:f>
        <x:v>8</x:v>
      </x:c>
      <x:c r="Q24" s="38" t="str">
        <x:f>IF(P24="","",IF(OR(P24=7,P24=8),"7-8",IF(OR(P24=9,P24=10),"9-10","")))</x:f>
        <x:v>7-8</x:v>
      </x:c>
      <x:c r="R24" s="38" t="n">
        <x:f>COUNTBLANK('Item Scores'!B21:AV21)</x:f>
        <x:v>0</x:v>
      </x:c>
      <x:c r="S24" s="32" t="str">
        <x:f>IF(OR(B24="",C24=""),"Raw scores available; T-scores not calculated because age/sex is missing",IF(R24=0,"Complete",IF(R24&lt;=2,"Missing item(s); affected subscale score prorated","Review missing responses")))</x:f>
        <x:v>Complete</x:v>
      </x:c>
    </x:row>
    <x:row r="25">
      <x:c r="A25" s="21" t="str">
        <x:v>P21</x:v>
      </x:c>
      <x:c r="B25" s="34" t="n">
        <x:v>15</x:v>
      </x:c>
      <x:c r="C25" s="21" t="str">
        <x:v>Male</x:v>
      </x:c>
      <x:c r="D25" s="36" t="n">
        <x:f>IF(COUNT('Item Scores'!E22,'Item Scores'!H22,'Item Scores'!I22,'Item Scores'!M22,'Item Scores'!U22,'Item Scores'!AE22,'Item Scores'!AG22,'Item Scores'!AM22,'Item Scores'!AR22)&lt;7,"",ROUND(SUM('Item Scores'!E22,'Item Scores'!H22,'Item Scores'!I22,'Item Scores'!M22,'Item Scores'!U22,'Item Scores'!AE22,'Item Scores'!AG22,'Item Scores'!AM22,'Item Scores'!AR22)/COUNT('Item Scores'!E22,'Item Scores'!H22,'Item Scores'!I22,'Item Scores'!M22,'Item Scores'!U22,'Item Scores'!AE22,'Item Scores'!AG22,'Item Scores'!AM22,'Item Scores'!AR22)*9,0))</x:f>
        <x:v>12</x:v>
      </x:c>
      <x:c r="E25" s="36" t="n">
        <x:f>IF(COUNT('Item Scores'!D22,'Item Scores'!O22,'Item Scores'!Y22,'Item Scores'!AA22,'Item Scores'!AC22,'Item Scores'!AI22,'Item Scores'!AK22,'Item Scores'!AN22,'Item Scores'!AP22)&lt;7,"",ROUND(SUM('Item Scores'!D22,'Item Scores'!O22,'Item Scores'!Y22,'Item Scores'!AA22,'Item Scores'!AC22,'Item Scores'!AI22,'Item Scores'!AK22,'Item Scores'!AN22,'Item Scores'!AP22)/COUNT('Item Scores'!D22,'Item Scores'!O22,'Item Scores'!Y22,'Item Scores'!AA22,'Item Scores'!AC22,'Item Scores'!AI22,'Item Scores'!AK22,'Item Scores'!AN22,'Item Scores'!AP22)*9,0))</x:f>
        <x:v>1</x:v>
      </x:c>
      <x:c r="F25" s="36" t="n">
        <x:f>IF(COUNT('Item Scores'!C22,'Item Scores'!G22,'Item Scores'!L22,'Item Scores'!P22,'Item Scores'!T22,'Item Scores'!V22,'Item Scores'!Z22,'Item Scores'!AD22,'Item Scores'!AO22,'Item Scores'!AV22)&lt;8,"",ROUND(SUM('Item Scores'!C22,'Item Scores'!G22,'Item Scores'!L22,'Item Scores'!P22,'Item Scores'!T22,'Item Scores'!V22,'Item Scores'!Z22,'Item Scores'!AD22,'Item Scores'!AO22,'Item Scores'!AV22)/COUNT('Item Scores'!C22,'Item Scores'!G22,'Item Scores'!L22,'Item Scores'!P22,'Item Scores'!T22,'Item Scores'!V22,'Item Scores'!Z22,'Item Scores'!AD22,'Item Scores'!AO22,'Item Scores'!AV22)*10,0))</x:f>
        <x:v>0</x:v>
      </x:c>
      <x:c r="G25" s="36" t="n">
        <x:f>IF(COUNT('Item Scores'!F22,'Item Scores'!J22,'Item Scores'!R22,'Item Scores'!S22,'Item Scores'!AH22,'Item Scores'!AT22,'Item Scores'!AU22)&lt;5,"",ROUND(SUM('Item Scores'!F22,'Item Scores'!J22,'Item Scores'!R22,'Item Scores'!S22,'Item Scores'!AH22,'Item Scores'!AT22,'Item Scores'!AU22)/COUNT('Item Scores'!F22,'Item Scores'!J22,'Item Scores'!R22,'Item Scores'!S22,'Item Scores'!AH22,'Item Scores'!AT22,'Item Scores'!AU22)*7,0))</x:f>
        <x:v>2</x:v>
      </x:c>
      <x:c r="H25" s="36" t="n">
        <x:f>IF(COUNT('Item Scores'!B22,'Item Scores'!N22,'Item Scores'!W22,'Item Scores'!AB22,'Item Scores'!AJ22,'Item Scores'!AL22)&lt;4,"",ROUND(SUM('Item Scores'!B22,'Item Scores'!N22,'Item Scores'!W22,'Item Scores'!AB22,'Item Scores'!AJ22,'Item Scores'!AL22)/COUNT('Item Scores'!B22,'Item Scores'!N22,'Item Scores'!W22,'Item Scores'!AB22,'Item Scores'!AJ22,'Item Scores'!AL22)*6,0))</x:f>
        <x:v>2</x:v>
      </x:c>
      <x:c r="I25" s="36" t="n">
        <x:f>IF(COUNT('Item Scores'!K22,'Item Scores'!Q22,'Item Scores'!X22,'Item Scores'!AF22,'Item Scores'!AQ22,'Item Scores'!AS22)&lt;4,"",ROUND(SUM('Item Scores'!K22,'Item Scores'!Q22,'Item Scores'!X22,'Item Scores'!AF22,'Item Scores'!AQ22,'Item Scores'!AS22)/COUNT('Item Scores'!K22,'Item Scores'!Q22,'Item Scores'!X22,'Item Scores'!AF22,'Item Scores'!AQ22,'Item Scores'!AS22)*6,0))</x:f>
        <x:v>2</x:v>
      </x:c>
      <x:c r="J25" s="37" t="n">
        <x:f>IF(OR($Q25="",$C25=""),"",IFERROR(VLOOKUP($Q25&amp;"|"&amp;$C25&amp;"|SP|"&amp;D25,'Norm Tables'!$A$2:$F$589,6,FALSE),""))</x:f>
        <x:v>51</x:v>
      </x:c>
      <x:c r="K25" s="36" t="n">
        <x:f>IF(OR($Q25="",$C25=""),"",IFERROR(VLOOKUP($Q25&amp;"|"&amp;$C25&amp;"|PD|"&amp;E25,'Norm Tables'!$A$2:$F$589,6,FALSE),""))</x:f>
        <x:v>41</x:v>
      </x:c>
      <x:c r="L25" s="36" t="n">
        <x:f>IF(OR($Q25="",$C25=""),"",IFERROR(VLOOKUP($Q25&amp;"|"&amp;$C25&amp;"|MDD|"&amp;F25,'Norm Tables'!$A$2:$F$589,6,FALSE),""))</x:f>
        <x:v>32</x:v>
      </x:c>
      <x:c r="M25" s="36" t="n">
        <x:f>IF(OR($Q25="",$C25=""),"",IFERROR(VLOOKUP($Q25&amp;"|"&amp;$C25&amp;"|SAD|"&amp;G25,'Norm Tables'!$A$2:$F$589,6,FALSE),""))</x:f>
        <x:v>48</x:v>
      </x:c>
      <x:c r="N25" s="36" t="n">
        <x:f>IF(OR($Q25="",$C25=""),"",IFERROR(VLOOKUP($Q25&amp;"|"&amp;$C25&amp;"|GAD|"&amp;H25,'Norm Tables'!$A$2:$F$589,6,FALSE),""))</x:f>
        <x:v>33</x:v>
      </x:c>
      <x:c r="O25" s="36" t="n">
        <x:f>IF(OR($Q25="",$C25=""),"",IFERROR(VLOOKUP($Q25&amp;"|"&amp;$C25&amp;"|OCD|"&amp;I25,'Norm Tables'!$A$2:$F$589,6,FALSE),""))</x:f>
        <x:v>41</x:v>
      </x:c>
      <x:c r="P25" s="37" t="n">
        <x:f>IF(B25="","",B25-6)</x:f>
        <x:v>9</x:v>
      </x:c>
      <x:c r="Q25" s="36" t="str">
        <x:f>IF(P25="","",IF(OR(P25=7,P25=8),"7-8",IF(OR(P25=9,P25=10),"9-10","")))</x:f>
        <x:v>9-10</x:v>
      </x:c>
      <x:c r="R25" s="36" t="n">
        <x:f>COUNTBLANK('Item Scores'!B22:AV22)</x:f>
        <x:v>0</x:v>
      </x:c>
      <x:c r="S25" s="31" t="str">
        <x:f>IF(OR(B25="",C25=""),"Raw scores available; T-scores not calculated because age/sex is missing",IF(R25=0,"Complete",IF(R25&lt;=2,"Missing item(s); affected subscale score prorated","Review missing responses")))</x:f>
        <x:v>Complete</x:v>
      </x:c>
    </x:row>
    <x:row r="26">
      <x:c r="A26" s="22" t="str">
        <x:v>P22</x:v>
      </x:c>
      <x:c r="B26" s="35" t="n">
        <x:v>13</x:v>
      </x:c>
      <x:c r="C26" s="22" t="str">
        <x:v>Male</x:v>
      </x:c>
      <x:c r="D26" s="38" t="n">
        <x:f>IF(COUNT('Item Scores'!E23,'Item Scores'!H23,'Item Scores'!I23,'Item Scores'!M23,'Item Scores'!U23,'Item Scores'!AE23,'Item Scores'!AG23,'Item Scores'!AM23,'Item Scores'!AR23)&lt;7,"",ROUND(SUM('Item Scores'!E23,'Item Scores'!H23,'Item Scores'!I23,'Item Scores'!M23,'Item Scores'!U23,'Item Scores'!AE23,'Item Scores'!AG23,'Item Scores'!AM23,'Item Scores'!AR23)/COUNT('Item Scores'!E23,'Item Scores'!H23,'Item Scores'!I23,'Item Scores'!M23,'Item Scores'!U23,'Item Scores'!AE23,'Item Scores'!AG23,'Item Scores'!AM23,'Item Scores'!AR23)*9,0))</x:f>
        <x:v>2</x:v>
      </x:c>
      <x:c r="E26" s="38" t="n">
        <x:f>IF(COUNT('Item Scores'!D23,'Item Scores'!O23,'Item Scores'!Y23,'Item Scores'!AA23,'Item Scores'!AC23,'Item Scores'!AI23,'Item Scores'!AK23,'Item Scores'!AN23,'Item Scores'!AP23)&lt;7,"",ROUND(SUM('Item Scores'!D23,'Item Scores'!O23,'Item Scores'!Y23,'Item Scores'!AA23,'Item Scores'!AC23,'Item Scores'!AI23,'Item Scores'!AK23,'Item Scores'!AN23,'Item Scores'!AP23)/COUNT('Item Scores'!D23,'Item Scores'!O23,'Item Scores'!Y23,'Item Scores'!AA23,'Item Scores'!AC23,'Item Scores'!AI23,'Item Scores'!AK23,'Item Scores'!AN23,'Item Scores'!AP23)*9,0))</x:f>
        <x:v>2</x:v>
      </x:c>
      <x:c r="F26" s="38" t="n">
        <x:f>IF(COUNT('Item Scores'!C23,'Item Scores'!G23,'Item Scores'!L23,'Item Scores'!P23,'Item Scores'!T23,'Item Scores'!V23,'Item Scores'!Z23,'Item Scores'!AD23,'Item Scores'!AO23,'Item Scores'!AV23)&lt;8,"",ROUND(SUM('Item Scores'!C23,'Item Scores'!G23,'Item Scores'!L23,'Item Scores'!P23,'Item Scores'!T23,'Item Scores'!V23,'Item Scores'!Z23,'Item Scores'!AD23,'Item Scores'!AO23,'Item Scores'!AV23)/COUNT('Item Scores'!C23,'Item Scores'!G23,'Item Scores'!L23,'Item Scores'!P23,'Item Scores'!T23,'Item Scores'!V23,'Item Scores'!Z23,'Item Scores'!AD23,'Item Scores'!AO23,'Item Scores'!AV23)*10,0))</x:f>
        <x:v>2</x:v>
      </x:c>
      <x:c r="G26" s="38" t="n">
        <x:f>IF(COUNT('Item Scores'!F23,'Item Scores'!J23,'Item Scores'!R23,'Item Scores'!S23,'Item Scores'!AH23,'Item Scores'!AT23,'Item Scores'!AU23)&lt;5,"",ROUND(SUM('Item Scores'!F23,'Item Scores'!J23,'Item Scores'!R23,'Item Scores'!S23,'Item Scores'!AH23,'Item Scores'!AT23,'Item Scores'!AU23)/COUNT('Item Scores'!F23,'Item Scores'!J23,'Item Scores'!R23,'Item Scores'!S23,'Item Scores'!AH23,'Item Scores'!AT23,'Item Scores'!AU23)*7,0))</x:f>
        <x:v>0</x:v>
      </x:c>
      <x:c r="H26" s="38" t="n">
        <x:f>IF(COUNT('Item Scores'!B23,'Item Scores'!N23,'Item Scores'!W23,'Item Scores'!AB23,'Item Scores'!AJ23,'Item Scores'!AL23)&lt;4,"",ROUND(SUM('Item Scores'!B23,'Item Scores'!N23,'Item Scores'!W23,'Item Scores'!AB23,'Item Scores'!AJ23,'Item Scores'!AL23)/COUNT('Item Scores'!B23,'Item Scores'!N23,'Item Scores'!W23,'Item Scores'!AB23,'Item Scores'!AJ23,'Item Scores'!AL23)*6,0))</x:f>
        <x:v>1</x:v>
      </x:c>
      <x:c r="I26" s="38" t="n">
        <x:f>IF(COUNT('Item Scores'!K23,'Item Scores'!Q23,'Item Scores'!X23,'Item Scores'!AF23,'Item Scores'!AQ23,'Item Scores'!AS23)&lt;4,"",ROUND(SUM('Item Scores'!K23,'Item Scores'!Q23,'Item Scores'!X23,'Item Scores'!AF23,'Item Scores'!AQ23,'Item Scores'!AS23)/COUNT('Item Scores'!K23,'Item Scores'!Q23,'Item Scores'!X23,'Item Scores'!AF23,'Item Scores'!AQ23,'Item Scores'!AS23)*6,0))</x:f>
        <x:v>0</x:v>
      </x:c>
      <x:c r="J26" s="39" t="n">
        <x:f>IF(OR($Q26="",$C26=""),"",IFERROR(VLOOKUP($Q26&amp;"|"&amp;$C26&amp;"|SP|"&amp;D26,'Norm Tables'!$A$2:$F$589,6,FALSE),""))</x:f>
        <x:v>31</x:v>
      </x:c>
      <x:c r="K26" s="38" t="n">
        <x:f>IF(OR($Q26="",$C26=""),"",IFERROR(VLOOKUP($Q26&amp;"|"&amp;$C26&amp;"|PD|"&amp;E26,'Norm Tables'!$A$2:$F$589,6,FALSE),""))</x:f>
        <x:v>45</x:v>
      </x:c>
      <x:c r="L26" s="38" t="n">
        <x:f>IF(OR($Q26="",$C26=""),"",IFERROR(VLOOKUP($Q26&amp;"|"&amp;$C26&amp;"|MDD|"&amp;F26,'Norm Tables'!$A$2:$F$589,6,FALSE),""))</x:f>
        <x:v>37</x:v>
      </x:c>
      <x:c r="M26" s="38" t="n">
        <x:f>IF(OR($Q26="",$C26=""),"",IFERROR(VLOOKUP($Q26&amp;"|"&amp;$C26&amp;"|SAD|"&amp;G26,'Norm Tables'!$A$2:$F$589,6,FALSE),""))</x:f>
        <x:v>41</x:v>
      </x:c>
      <x:c r="N26" s="38" t="n">
        <x:f>IF(OR($Q26="",$C26=""),"",IFERROR(VLOOKUP($Q26&amp;"|"&amp;$C26&amp;"|GAD|"&amp;H26,'Norm Tables'!$A$2:$F$589,6,FALSE),""))</x:f>
        <x:v>33</x:v>
      </x:c>
      <x:c r="O26" s="38" t="n">
        <x:f>IF(OR($Q26="",$C26=""),"",IFERROR(VLOOKUP($Q26&amp;"|"&amp;$C26&amp;"|OCD|"&amp;I26,'Norm Tables'!$A$2:$F$589,6,FALSE),""))</x:f>
        <x:v>35</x:v>
      </x:c>
      <x:c r="P26" s="39" t="n">
        <x:f>IF(B26="","",B26-6)</x:f>
        <x:v>7</x:v>
      </x:c>
      <x:c r="Q26" s="38" t="str">
        <x:f>IF(P26="","",IF(OR(P26=7,P26=8),"7-8",IF(OR(P26=9,P26=10),"9-10","")))</x:f>
        <x:v>7-8</x:v>
      </x:c>
      <x:c r="R26" s="38" t="n">
        <x:f>COUNTBLANK('Item Scores'!B23:AV23)</x:f>
        <x:v>0</x:v>
      </x:c>
      <x:c r="S26" s="32" t="str">
        <x:f>IF(OR(B26="",C26=""),"Raw scores available; T-scores not calculated because age/sex is missing",IF(R26=0,"Complete",IF(R26&lt;=2,"Missing item(s); affected subscale score prorated","Review missing responses")))</x:f>
        <x:v>Complete</x:v>
      </x:c>
    </x:row>
    <x:row r="27">
      <x:c r="A27" s="21" t="str">
        <x:v>P23</x:v>
      </x:c>
      <x:c r="B27" s="34" t="n">
        <x:v>13</x:v>
      </x:c>
      <x:c r="C27" s="21" t="str">
        <x:v>Female</x:v>
      </x:c>
      <x:c r="D27" s="36" t="n">
        <x:f>IF(COUNT('Item Scores'!E24,'Item Scores'!H24,'Item Scores'!I24,'Item Scores'!M24,'Item Scores'!U24,'Item Scores'!AE24,'Item Scores'!AG24,'Item Scores'!AM24,'Item Scores'!AR24)&lt;7,"",ROUND(SUM('Item Scores'!E24,'Item Scores'!H24,'Item Scores'!I24,'Item Scores'!M24,'Item Scores'!U24,'Item Scores'!AE24,'Item Scores'!AG24,'Item Scores'!AM24,'Item Scores'!AR24)/COUNT('Item Scores'!E24,'Item Scores'!H24,'Item Scores'!I24,'Item Scores'!M24,'Item Scores'!U24,'Item Scores'!AE24,'Item Scores'!AG24,'Item Scores'!AM24,'Item Scores'!AR24)*9,0))</x:f>
        <x:v>19</x:v>
      </x:c>
      <x:c r="E27" s="36" t="n">
        <x:f>IF(COUNT('Item Scores'!D24,'Item Scores'!O24,'Item Scores'!Y24,'Item Scores'!AA24,'Item Scores'!AC24,'Item Scores'!AI24,'Item Scores'!AK24,'Item Scores'!AN24,'Item Scores'!AP24)&lt;7,"",ROUND(SUM('Item Scores'!D24,'Item Scores'!O24,'Item Scores'!Y24,'Item Scores'!AA24,'Item Scores'!AC24,'Item Scores'!AI24,'Item Scores'!AK24,'Item Scores'!AN24,'Item Scores'!AP24)/COUNT('Item Scores'!D24,'Item Scores'!O24,'Item Scores'!Y24,'Item Scores'!AA24,'Item Scores'!AC24,'Item Scores'!AI24,'Item Scores'!AK24,'Item Scores'!AN24,'Item Scores'!AP24)*9,0))</x:f>
        <x:v>5</x:v>
      </x:c>
      <x:c r="F27" s="36" t="n">
        <x:f>IF(COUNT('Item Scores'!C24,'Item Scores'!G24,'Item Scores'!L24,'Item Scores'!P24,'Item Scores'!T24,'Item Scores'!V24,'Item Scores'!Z24,'Item Scores'!AD24,'Item Scores'!AO24,'Item Scores'!AV24)&lt;8,"",ROUND(SUM('Item Scores'!C24,'Item Scores'!G24,'Item Scores'!L24,'Item Scores'!P24,'Item Scores'!T24,'Item Scores'!V24,'Item Scores'!Z24,'Item Scores'!AD24,'Item Scores'!AO24,'Item Scores'!AV24)/COUNT('Item Scores'!C24,'Item Scores'!G24,'Item Scores'!L24,'Item Scores'!P24,'Item Scores'!T24,'Item Scores'!V24,'Item Scores'!Z24,'Item Scores'!AD24,'Item Scores'!AO24,'Item Scores'!AV24)*10,0))</x:f>
        <x:v>8</x:v>
      </x:c>
      <x:c r="G27" s="36" t="n">
        <x:f>IF(COUNT('Item Scores'!F24,'Item Scores'!J24,'Item Scores'!R24,'Item Scores'!S24,'Item Scores'!AH24,'Item Scores'!AT24,'Item Scores'!AU24)&lt;5,"",ROUND(SUM('Item Scores'!F24,'Item Scores'!J24,'Item Scores'!R24,'Item Scores'!S24,'Item Scores'!AH24,'Item Scores'!AT24,'Item Scores'!AU24)/COUNT('Item Scores'!F24,'Item Scores'!J24,'Item Scores'!R24,'Item Scores'!S24,'Item Scores'!AH24,'Item Scores'!AT24,'Item Scores'!AU24)*7,0))</x:f>
        <x:v>5</x:v>
      </x:c>
      <x:c r="H27" s="36" t="n">
        <x:f>IF(COUNT('Item Scores'!B24,'Item Scores'!N24,'Item Scores'!W24,'Item Scores'!AB24,'Item Scores'!AJ24,'Item Scores'!AL24)&lt;4,"",ROUND(SUM('Item Scores'!B24,'Item Scores'!N24,'Item Scores'!W24,'Item Scores'!AB24,'Item Scores'!AJ24,'Item Scores'!AL24)/COUNT('Item Scores'!B24,'Item Scores'!N24,'Item Scores'!W24,'Item Scores'!AB24,'Item Scores'!AJ24,'Item Scores'!AL24)*6,0))</x:f>
        <x:v>1</x:v>
      </x:c>
      <x:c r="I27" s="36" t="n">
        <x:f>IF(COUNT('Item Scores'!K24,'Item Scores'!Q24,'Item Scores'!X24,'Item Scores'!AF24,'Item Scores'!AQ24,'Item Scores'!AS24)&lt;4,"",ROUND(SUM('Item Scores'!K24,'Item Scores'!Q24,'Item Scores'!X24,'Item Scores'!AF24,'Item Scores'!AQ24,'Item Scores'!AS24)/COUNT('Item Scores'!K24,'Item Scores'!Q24,'Item Scores'!X24,'Item Scores'!AF24,'Item Scores'!AQ24,'Item Scores'!AS24)*6,0))</x:f>
        <x:v>1</x:v>
      </x:c>
      <x:c r="J27" s="37" t="n">
        <x:f>IF(OR($Q27="",$C27=""),"",IFERROR(VLOOKUP($Q27&amp;"|"&amp;$C27&amp;"|SP|"&amp;D27,'Norm Tables'!$A$2:$F$589,6,FALSE),""))</x:f>
        <x:v>62</x:v>
      </x:c>
      <x:c r="K27" s="36" t="n">
        <x:f>IF(OR($Q27="",$C27=""),"",IFERROR(VLOOKUP($Q27&amp;"|"&amp;$C27&amp;"|PD|"&amp;E27,'Norm Tables'!$A$2:$F$589,6,FALSE),""))</x:f>
        <x:v>50</x:v>
      </x:c>
      <x:c r="L27" s="36" t="n">
        <x:f>IF(OR($Q27="",$C27=""),"",IFERROR(VLOOKUP($Q27&amp;"|"&amp;$C27&amp;"|MDD|"&amp;F27,'Norm Tables'!$A$2:$F$589,6,FALSE),""))</x:f>
        <x:v>50</x:v>
      </x:c>
      <x:c r="M27" s="36" t="n">
        <x:f>IF(OR($Q27="",$C27=""),"",IFERROR(VLOOKUP($Q27&amp;"|"&amp;$C27&amp;"|SAD|"&amp;G27,'Norm Tables'!$A$2:$F$589,6,FALSE),""))</x:f>
        <x:v>57</x:v>
      </x:c>
      <x:c r="N27" s="36" t="n">
        <x:f>IF(OR($Q27="",$C27=""),"",IFERROR(VLOOKUP($Q27&amp;"|"&amp;$C27&amp;"|GAD|"&amp;H27,'Norm Tables'!$A$2:$F$589,6,FALSE),""))</x:f>
        <x:v>30</x:v>
      </x:c>
      <x:c r="O27" s="36" t="n">
        <x:f>IF(OR($Q27="",$C27=""),"",IFERROR(VLOOKUP($Q27&amp;"|"&amp;$C27&amp;"|OCD|"&amp;I27,'Norm Tables'!$A$2:$F$589,6,FALSE),""))</x:f>
        <x:v>38</x:v>
      </x:c>
      <x:c r="P27" s="37" t="n">
        <x:f>IF(B27="","",B27-6)</x:f>
        <x:v>7</x:v>
      </x:c>
      <x:c r="Q27" s="36" t="str">
        <x:f>IF(P27="","",IF(OR(P27=7,P27=8),"7-8",IF(OR(P27=9,P27=10),"9-10","")))</x:f>
        <x:v>7-8</x:v>
      </x:c>
      <x:c r="R27" s="36" t="n">
        <x:f>COUNTBLANK('Item Scores'!B24:AV24)</x:f>
        <x:v>0</x:v>
      </x:c>
      <x:c r="S27" s="31" t="str">
        <x:f>IF(OR(B27="",C27=""),"Raw scores available; T-scores not calculated because age/sex is missing",IF(R27=0,"Complete",IF(R27&lt;=2,"Missing item(s); affected subscale score prorated","Review missing responses")))</x:f>
        <x:v>Complete</x:v>
      </x:c>
    </x:row>
    <x:row r="28">
      <x:c r="A28" s="22" t="str">
        <x:v>P24</x:v>
      </x:c>
      <x:c r="B28" s="35" t="n">
        <x:v>13</x:v>
      </x:c>
      <x:c r="C28" s="22" t="str">
        <x:v>Female</x:v>
      </x:c>
      <x:c r="D28" s="38" t="n">
        <x:f>IF(COUNT('Item Scores'!E25,'Item Scores'!H25,'Item Scores'!I25,'Item Scores'!M25,'Item Scores'!U25,'Item Scores'!AE25,'Item Scores'!AG25,'Item Scores'!AM25,'Item Scores'!AR25)&lt;7,"",ROUND(SUM('Item Scores'!E25,'Item Scores'!H25,'Item Scores'!I25,'Item Scores'!M25,'Item Scores'!U25,'Item Scores'!AE25,'Item Scores'!AG25,'Item Scores'!AM25,'Item Scores'!AR25)/COUNT('Item Scores'!E25,'Item Scores'!H25,'Item Scores'!I25,'Item Scores'!M25,'Item Scores'!U25,'Item Scores'!AE25,'Item Scores'!AG25,'Item Scores'!AM25,'Item Scores'!AR25)*9,0))</x:f>
        <x:v>4</x:v>
      </x:c>
      <x:c r="E28" s="38" t="n">
        <x:f>IF(COUNT('Item Scores'!D25,'Item Scores'!O25,'Item Scores'!Y25,'Item Scores'!AA25,'Item Scores'!AC25,'Item Scores'!AI25,'Item Scores'!AK25,'Item Scores'!AN25,'Item Scores'!AP25)&lt;7,"",ROUND(SUM('Item Scores'!D25,'Item Scores'!O25,'Item Scores'!Y25,'Item Scores'!AA25,'Item Scores'!AC25,'Item Scores'!AI25,'Item Scores'!AK25,'Item Scores'!AN25,'Item Scores'!AP25)/COUNT('Item Scores'!D25,'Item Scores'!O25,'Item Scores'!Y25,'Item Scores'!AA25,'Item Scores'!AC25,'Item Scores'!AI25,'Item Scores'!AK25,'Item Scores'!AN25,'Item Scores'!AP25)*9,0))</x:f>
        <x:v>0</x:v>
      </x:c>
      <x:c r="F28" s="38" t="n">
        <x:f>IF(COUNT('Item Scores'!C25,'Item Scores'!G25,'Item Scores'!L25,'Item Scores'!P25,'Item Scores'!T25,'Item Scores'!V25,'Item Scores'!Z25,'Item Scores'!AD25,'Item Scores'!AO25,'Item Scores'!AV25)&lt;8,"",ROUND(SUM('Item Scores'!C25,'Item Scores'!G25,'Item Scores'!L25,'Item Scores'!P25,'Item Scores'!T25,'Item Scores'!V25,'Item Scores'!Z25,'Item Scores'!AD25,'Item Scores'!AO25,'Item Scores'!AV25)/COUNT('Item Scores'!C25,'Item Scores'!G25,'Item Scores'!L25,'Item Scores'!P25,'Item Scores'!T25,'Item Scores'!V25,'Item Scores'!Z25,'Item Scores'!AD25,'Item Scores'!AO25,'Item Scores'!AV25)*10,0))</x:f>
        <x:v>3</x:v>
      </x:c>
      <x:c r="G28" s="38" t="n">
        <x:f>IF(COUNT('Item Scores'!F25,'Item Scores'!J25,'Item Scores'!R25,'Item Scores'!S25,'Item Scores'!AH25,'Item Scores'!AT25,'Item Scores'!AU25)&lt;5,"",ROUND(SUM('Item Scores'!F25,'Item Scores'!J25,'Item Scores'!R25,'Item Scores'!S25,'Item Scores'!AH25,'Item Scores'!AT25,'Item Scores'!AU25)/COUNT('Item Scores'!F25,'Item Scores'!J25,'Item Scores'!R25,'Item Scores'!S25,'Item Scores'!AH25,'Item Scores'!AT25,'Item Scores'!AU25)*7,0))</x:f>
        <x:v>0</x:v>
      </x:c>
      <x:c r="H28" s="38" t="n">
        <x:f>IF(COUNT('Item Scores'!B25,'Item Scores'!N25,'Item Scores'!W25,'Item Scores'!AB25,'Item Scores'!AJ25,'Item Scores'!AL25)&lt;4,"",ROUND(SUM('Item Scores'!B25,'Item Scores'!N25,'Item Scores'!W25,'Item Scores'!AB25,'Item Scores'!AJ25,'Item Scores'!AL25)/COUNT('Item Scores'!B25,'Item Scores'!N25,'Item Scores'!W25,'Item Scores'!AB25,'Item Scores'!AJ25,'Item Scores'!AL25)*6,0))</x:f>
        <x:v>1</x:v>
      </x:c>
      <x:c r="I28" s="38" t="n">
        <x:f>IF(COUNT('Item Scores'!K25,'Item Scores'!Q25,'Item Scores'!X25,'Item Scores'!AF25,'Item Scores'!AQ25,'Item Scores'!AS25)&lt;4,"",ROUND(SUM('Item Scores'!K25,'Item Scores'!Q25,'Item Scores'!X25,'Item Scores'!AF25,'Item Scores'!AQ25,'Item Scores'!AS25)/COUNT('Item Scores'!K25,'Item Scores'!Q25,'Item Scores'!X25,'Item Scores'!AF25,'Item Scores'!AQ25,'Item Scores'!AS25)*6,0))</x:f>
        <x:v>0</x:v>
      </x:c>
      <x:c r="J28" s="39" t="n">
        <x:f>IF(OR($Q28="",$C28=""),"",IFERROR(VLOOKUP($Q28&amp;"|"&amp;$C28&amp;"|SP|"&amp;D28,'Norm Tables'!$A$2:$F$589,6,FALSE),""))</x:f>
        <x:v>32</x:v>
      </x:c>
      <x:c r="K28" s="38" t="n">
        <x:f>IF(OR($Q28="",$C28=""),"",IFERROR(VLOOKUP($Q28&amp;"|"&amp;$C28&amp;"|PD|"&amp;E28,'Norm Tables'!$A$2:$F$589,6,FALSE),""))</x:f>
        <x:v>37</x:v>
      </x:c>
      <x:c r="L28" s="38" t="n">
        <x:f>IF(OR($Q28="",$C28=""),"",IFERROR(VLOOKUP($Q28&amp;"|"&amp;$C28&amp;"|MDD|"&amp;F28,'Norm Tables'!$A$2:$F$589,6,FALSE),""))</x:f>
        <x:v>37</x:v>
      </x:c>
      <x:c r="M28" s="38" t="n">
        <x:f>IF(OR($Q28="",$C28=""),"",IFERROR(VLOOKUP($Q28&amp;"|"&amp;$C28&amp;"|SAD|"&amp;G28,'Norm Tables'!$A$2:$F$589,6,FALSE),""))</x:f>
        <x:v>39</x:v>
      </x:c>
      <x:c r="N28" s="38" t="n">
        <x:f>IF(OR($Q28="",$C28=""),"",IFERROR(VLOOKUP($Q28&amp;"|"&amp;$C28&amp;"|GAD|"&amp;H28,'Norm Tables'!$A$2:$F$589,6,FALSE),""))</x:f>
        <x:v>30</x:v>
      </x:c>
      <x:c r="O28" s="38" t="n">
        <x:f>IF(OR($Q28="",$C28=""),"",IFERROR(VLOOKUP($Q28&amp;"|"&amp;$C28&amp;"|OCD|"&amp;I28,'Norm Tables'!$A$2:$F$589,6,FALSE),""))</x:f>
        <x:v>35</x:v>
      </x:c>
      <x:c r="P28" s="39" t="n">
        <x:f>IF(B28="","",B28-6)</x:f>
        <x:v>7</x:v>
      </x:c>
      <x:c r="Q28" s="38" t="str">
        <x:f>IF(P28="","",IF(OR(P28=7,P28=8),"7-8",IF(OR(P28=9,P28=10),"9-10","")))</x:f>
        <x:v>7-8</x:v>
      </x:c>
      <x:c r="R28" s="38" t="n">
        <x:f>COUNTBLANK('Item Scores'!B25:AV25)</x:f>
        <x:v>0</x:v>
      </x:c>
      <x:c r="S28" s="32" t="str">
        <x:f>IF(OR(B28="",C28=""),"Raw scores available; T-scores not calculated because age/sex is missing",IF(R28=0,"Complete",IF(R28&lt;=2,"Missing item(s); affected subscale score prorated","Review missing responses")))</x:f>
        <x:v>Complete</x:v>
      </x:c>
    </x:row>
    <x:row r="29">
      <x:c r="A29" s="21" t="str">
        <x:v>P25</x:v>
      </x:c>
      <x:c r="B29" s="34" t="n">
        <x:v>15</x:v>
      </x:c>
      <x:c r="C29" s="21" t="str">
        <x:v>Male</x:v>
      </x:c>
      <x:c r="D29" s="36" t="n">
        <x:f>IF(COUNT('Item Scores'!E26,'Item Scores'!H26,'Item Scores'!I26,'Item Scores'!M26,'Item Scores'!U26,'Item Scores'!AE26,'Item Scores'!AG26,'Item Scores'!AM26,'Item Scores'!AR26)&lt;7,"",ROUND(SUM('Item Scores'!E26,'Item Scores'!H26,'Item Scores'!I26,'Item Scores'!M26,'Item Scores'!U26,'Item Scores'!AE26,'Item Scores'!AG26,'Item Scores'!AM26,'Item Scores'!AR26)/COUNT('Item Scores'!E26,'Item Scores'!H26,'Item Scores'!I26,'Item Scores'!M26,'Item Scores'!U26,'Item Scores'!AE26,'Item Scores'!AG26,'Item Scores'!AM26,'Item Scores'!AR26)*9,0))</x:f>
        <x:v>2</x:v>
      </x:c>
      <x:c r="E29" s="36" t="n">
        <x:f>IF(COUNT('Item Scores'!D26,'Item Scores'!O26,'Item Scores'!Y26,'Item Scores'!AA26,'Item Scores'!AC26,'Item Scores'!AI26,'Item Scores'!AK26,'Item Scores'!AN26,'Item Scores'!AP26)&lt;7,"",ROUND(SUM('Item Scores'!D26,'Item Scores'!O26,'Item Scores'!Y26,'Item Scores'!AA26,'Item Scores'!AC26,'Item Scores'!AI26,'Item Scores'!AK26,'Item Scores'!AN26,'Item Scores'!AP26)/COUNT('Item Scores'!D26,'Item Scores'!O26,'Item Scores'!Y26,'Item Scores'!AA26,'Item Scores'!AC26,'Item Scores'!AI26,'Item Scores'!AK26,'Item Scores'!AN26,'Item Scores'!AP26)*9,0))</x:f>
        <x:v>4</x:v>
      </x:c>
      <x:c r="F29" s="36" t="n">
        <x:f>IF(COUNT('Item Scores'!C26,'Item Scores'!G26,'Item Scores'!L26,'Item Scores'!P26,'Item Scores'!T26,'Item Scores'!V26,'Item Scores'!Z26,'Item Scores'!AD26,'Item Scores'!AO26,'Item Scores'!AV26)&lt;8,"",ROUND(SUM('Item Scores'!C26,'Item Scores'!G26,'Item Scores'!L26,'Item Scores'!P26,'Item Scores'!T26,'Item Scores'!V26,'Item Scores'!Z26,'Item Scores'!AD26,'Item Scores'!AO26,'Item Scores'!AV26)/COUNT('Item Scores'!C26,'Item Scores'!G26,'Item Scores'!L26,'Item Scores'!P26,'Item Scores'!T26,'Item Scores'!V26,'Item Scores'!Z26,'Item Scores'!AD26,'Item Scores'!AO26,'Item Scores'!AV26)*10,0))</x:f>
        <x:v>11</x:v>
      </x:c>
      <x:c r="G29" s="36" t="n">
        <x:f>IF(COUNT('Item Scores'!F26,'Item Scores'!J26,'Item Scores'!R26,'Item Scores'!S26,'Item Scores'!AH26,'Item Scores'!AT26,'Item Scores'!AU26)&lt;5,"",ROUND(SUM('Item Scores'!F26,'Item Scores'!J26,'Item Scores'!R26,'Item Scores'!S26,'Item Scores'!AH26,'Item Scores'!AT26,'Item Scores'!AU26)/COUNT('Item Scores'!F26,'Item Scores'!J26,'Item Scores'!R26,'Item Scores'!S26,'Item Scores'!AH26,'Item Scores'!AT26,'Item Scores'!AU26)*7,0))</x:f>
        <x:v>4</x:v>
      </x:c>
      <x:c r="H29" s="36" t="n">
        <x:f>IF(COUNT('Item Scores'!B26,'Item Scores'!N26,'Item Scores'!W26,'Item Scores'!AB26,'Item Scores'!AJ26,'Item Scores'!AL26)&lt;4,"",ROUND(SUM('Item Scores'!B26,'Item Scores'!N26,'Item Scores'!W26,'Item Scores'!AB26,'Item Scores'!AJ26,'Item Scores'!AL26)/COUNT('Item Scores'!B26,'Item Scores'!N26,'Item Scores'!W26,'Item Scores'!AB26,'Item Scores'!AJ26,'Item Scores'!AL26)*6,0))</x:f>
        <x:v>6</x:v>
      </x:c>
      <x:c r="I29" s="36" t="n">
        <x:f>IF(COUNT('Item Scores'!K26,'Item Scores'!Q26,'Item Scores'!X26,'Item Scores'!AF26,'Item Scores'!AQ26,'Item Scores'!AS26)&lt;4,"",ROUND(SUM('Item Scores'!K26,'Item Scores'!Q26,'Item Scores'!X26,'Item Scores'!AF26,'Item Scores'!AQ26,'Item Scores'!AS26)/COUNT('Item Scores'!K26,'Item Scores'!Q26,'Item Scores'!X26,'Item Scores'!AF26,'Item Scores'!AQ26,'Item Scores'!AS26)*6,0))</x:f>
        <x:v>4</x:v>
      </x:c>
      <x:c r="J29" s="37" t="n">
        <x:f>IF(OR($Q29="",$C29=""),"",IFERROR(VLOOKUP($Q29&amp;"|"&amp;$C29&amp;"|SP|"&amp;D29,'Norm Tables'!$A$2:$F$589,6,FALSE),""))</x:f>
        <x:v>30</x:v>
      </x:c>
      <x:c r="K29" s="36" t="n">
        <x:f>IF(OR($Q29="",$C29=""),"",IFERROR(VLOOKUP($Q29&amp;"|"&amp;$C29&amp;"|PD|"&amp;E29,'Norm Tables'!$A$2:$F$589,6,FALSE),""))</x:f>
        <x:v>51</x:v>
      </x:c>
      <x:c r="L29" s="36" t="n">
        <x:f>IF(OR($Q29="",$C29=""),"",IFERROR(VLOOKUP($Q29&amp;"|"&amp;$C29&amp;"|MDD|"&amp;F29,'Norm Tables'!$A$2:$F$589,6,FALSE),""))</x:f>
        <x:v>59</x:v>
      </x:c>
      <x:c r="M29" s="36" t="n">
        <x:f>IF(OR($Q29="",$C29=""),"",IFERROR(VLOOKUP($Q29&amp;"|"&amp;$C29&amp;"|SAD|"&amp;G29,'Norm Tables'!$A$2:$F$589,6,FALSE),""))</x:f>
        <x:v>56</x:v>
      </x:c>
      <x:c r="N29" s="36" t="n">
        <x:f>IF(OR($Q29="",$C29=""),"",IFERROR(VLOOKUP($Q29&amp;"|"&amp;$C29&amp;"|GAD|"&amp;H29,'Norm Tables'!$A$2:$F$589,6,FALSE),""))</x:f>
        <x:v>46</x:v>
      </x:c>
      <x:c r="O29" s="36" t="n">
        <x:f>IF(OR($Q29="",$C29=""),"",IFERROR(VLOOKUP($Q29&amp;"|"&amp;$C29&amp;"|OCD|"&amp;I29,'Norm Tables'!$A$2:$F$589,6,FALSE),""))</x:f>
        <x:v>48</x:v>
      </x:c>
      <x:c r="P29" s="37" t="n">
        <x:f>IF(B29="","",B29-6)</x:f>
        <x:v>9</x:v>
      </x:c>
      <x:c r="Q29" s="36" t="str">
        <x:f>IF(P29="","",IF(OR(P29=7,P29=8),"7-8",IF(OR(P29=9,P29=10),"9-10","")))</x:f>
        <x:v>9-10</x:v>
      </x:c>
      <x:c r="R29" s="36" t="n">
        <x:f>COUNTBLANK('Item Scores'!B26:AV26)</x:f>
        <x:v>0</x:v>
      </x:c>
      <x:c r="S29" s="31" t="str">
        <x:f>IF(OR(B29="",C29=""),"Raw scores available; T-scores not calculated because age/sex is missing",IF(R29=0,"Complete",IF(R29&lt;=2,"Missing item(s); affected subscale score prorated","Review missing responses")))</x:f>
        <x:v>Complete</x:v>
      </x:c>
    </x:row>
    <x:row r="30">
      <x:c r="A30" s="22" t="str">
        <x:v>P26</x:v>
      </x:c>
      <x:c r="B30" s="35" t="n">
        <x:v>13</x:v>
      </x:c>
      <x:c r="C30" s="22" t="str">
        <x:v>Male</x:v>
      </x:c>
      <x:c r="D30" s="38" t="n">
        <x:f>IF(COUNT('Item Scores'!E27,'Item Scores'!H27,'Item Scores'!I27,'Item Scores'!M27,'Item Scores'!U27,'Item Scores'!AE27,'Item Scores'!AG27,'Item Scores'!AM27,'Item Scores'!AR27)&lt;7,"",ROUND(SUM('Item Scores'!E27,'Item Scores'!H27,'Item Scores'!I27,'Item Scores'!M27,'Item Scores'!U27,'Item Scores'!AE27,'Item Scores'!AG27,'Item Scores'!AM27,'Item Scores'!AR27)/COUNT('Item Scores'!E27,'Item Scores'!H27,'Item Scores'!I27,'Item Scores'!M27,'Item Scores'!U27,'Item Scores'!AE27,'Item Scores'!AG27,'Item Scores'!AM27,'Item Scores'!AR27)*9,0))</x:f>
        <x:v>3</x:v>
      </x:c>
      <x:c r="E30" s="38" t="n">
        <x:f>IF(COUNT('Item Scores'!D27,'Item Scores'!O27,'Item Scores'!Y27,'Item Scores'!AA27,'Item Scores'!AC27,'Item Scores'!AI27,'Item Scores'!AK27,'Item Scores'!AN27,'Item Scores'!AP27)&lt;7,"",ROUND(SUM('Item Scores'!D27,'Item Scores'!O27,'Item Scores'!Y27,'Item Scores'!AA27,'Item Scores'!AC27,'Item Scores'!AI27,'Item Scores'!AK27,'Item Scores'!AN27,'Item Scores'!AP27)/COUNT('Item Scores'!D27,'Item Scores'!O27,'Item Scores'!Y27,'Item Scores'!AA27,'Item Scores'!AC27,'Item Scores'!AI27,'Item Scores'!AK27,'Item Scores'!AN27,'Item Scores'!AP27)*9,0))</x:f>
        <x:v>1</x:v>
      </x:c>
      <x:c r="F30" s="38" t="n">
        <x:f>IF(COUNT('Item Scores'!C27,'Item Scores'!G27,'Item Scores'!L27,'Item Scores'!P27,'Item Scores'!T27,'Item Scores'!V27,'Item Scores'!Z27,'Item Scores'!AD27,'Item Scores'!AO27,'Item Scores'!AV27)&lt;8,"",ROUND(SUM('Item Scores'!C27,'Item Scores'!G27,'Item Scores'!L27,'Item Scores'!P27,'Item Scores'!T27,'Item Scores'!V27,'Item Scores'!Z27,'Item Scores'!AD27,'Item Scores'!AO27,'Item Scores'!AV27)/COUNT('Item Scores'!C27,'Item Scores'!G27,'Item Scores'!L27,'Item Scores'!P27,'Item Scores'!T27,'Item Scores'!V27,'Item Scores'!Z27,'Item Scores'!AD27,'Item Scores'!AO27,'Item Scores'!AV27)*10,0))</x:f>
        <x:v>0</x:v>
      </x:c>
      <x:c r="G30" s="38" t="n">
        <x:f>IF(COUNT('Item Scores'!F27,'Item Scores'!J27,'Item Scores'!R27,'Item Scores'!S27,'Item Scores'!AH27,'Item Scores'!AT27,'Item Scores'!AU27)&lt;5,"",ROUND(SUM('Item Scores'!F27,'Item Scores'!J27,'Item Scores'!R27,'Item Scores'!S27,'Item Scores'!AH27,'Item Scores'!AT27,'Item Scores'!AU27)/COUNT('Item Scores'!F27,'Item Scores'!J27,'Item Scores'!R27,'Item Scores'!S27,'Item Scores'!AH27,'Item Scores'!AT27,'Item Scores'!AU27)*7,0))</x:f>
        <x:v>0</x:v>
      </x:c>
      <x:c r="H30" s="38" t="n">
        <x:f>IF(COUNT('Item Scores'!B27,'Item Scores'!N27,'Item Scores'!W27,'Item Scores'!AB27,'Item Scores'!AJ27,'Item Scores'!AL27)&lt;4,"",ROUND(SUM('Item Scores'!B27,'Item Scores'!N27,'Item Scores'!W27,'Item Scores'!AB27,'Item Scores'!AJ27,'Item Scores'!AL27)/COUNT('Item Scores'!B27,'Item Scores'!N27,'Item Scores'!W27,'Item Scores'!AB27,'Item Scores'!AJ27,'Item Scores'!AL27)*6,0))</x:f>
        <x:v>0</x:v>
      </x:c>
      <x:c r="I30" s="38" t="n">
        <x:f>IF(COUNT('Item Scores'!K27,'Item Scores'!Q27,'Item Scores'!X27,'Item Scores'!AF27,'Item Scores'!AQ27,'Item Scores'!AS27)&lt;4,"",ROUND(SUM('Item Scores'!K27,'Item Scores'!Q27,'Item Scores'!X27,'Item Scores'!AF27,'Item Scores'!AQ27,'Item Scores'!AS27)/COUNT('Item Scores'!K27,'Item Scores'!Q27,'Item Scores'!X27,'Item Scores'!AF27,'Item Scores'!AQ27,'Item Scores'!AS27)*6,0))</x:f>
        <x:v>0</x:v>
      </x:c>
      <x:c r="J30" s="39" t="n">
        <x:f>IF(OR($Q30="",$C30=""),"",IFERROR(VLOOKUP($Q30&amp;"|"&amp;$C30&amp;"|SP|"&amp;D30,'Norm Tables'!$A$2:$F$589,6,FALSE),""))</x:f>
        <x:v>33</x:v>
      </x:c>
      <x:c r="K30" s="38" t="n">
        <x:f>IF(OR($Q30="",$C30=""),"",IFERROR(VLOOKUP($Q30&amp;"|"&amp;$C30&amp;"|PD|"&amp;E30,'Norm Tables'!$A$2:$F$589,6,FALSE),""))</x:f>
        <x:v>42</x:v>
      </x:c>
      <x:c r="L30" s="38" t="n">
        <x:f>IF(OR($Q30="",$C30=""),"",IFERROR(VLOOKUP($Q30&amp;"|"&amp;$C30&amp;"|MDD|"&amp;F30,'Norm Tables'!$A$2:$F$589,6,FALSE),""))</x:f>
        <x:v>32</x:v>
      </x:c>
      <x:c r="M30" s="38" t="n">
        <x:f>IF(OR($Q30="",$C30=""),"",IFERROR(VLOOKUP($Q30&amp;"|"&amp;$C30&amp;"|SAD|"&amp;G30,'Norm Tables'!$A$2:$F$589,6,FALSE),""))</x:f>
        <x:v>41</x:v>
      </x:c>
      <x:c r="N30" s="38" t="n">
        <x:f>IF(OR($Q30="",$C30=""),"",IFERROR(VLOOKUP($Q30&amp;"|"&amp;$C30&amp;"|GAD|"&amp;H30,'Norm Tables'!$A$2:$F$589,6,FALSE),""))</x:f>
        <x:v>30</x:v>
      </x:c>
      <x:c r="O30" s="38" t="n">
        <x:f>IF(OR($Q30="",$C30=""),"",IFERROR(VLOOKUP($Q30&amp;"|"&amp;$C30&amp;"|OCD|"&amp;I30,'Norm Tables'!$A$2:$F$589,6,FALSE),""))</x:f>
        <x:v>35</x:v>
      </x:c>
      <x:c r="P30" s="39" t="n">
        <x:f>IF(B30="","",B30-6)</x:f>
        <x:v>7</x:v>
      </x:c>
      <x:c r="Q30" s="38" t="str">
        <x:f>IF(P30="","",IF(OR(P30=7,P30=8),"7-8",IF(OR(P30=9,P30=10),"9-10","")))</x:f>
        <x:v>7-8</x:v>
      </x:c>
      <x:c r="R30" s="38" t="n">
        <x:f>COUNTBLANK('Item Scores'!B27:AV27)</x:f>
        <x:v>0</x:v>
      </x:c>
      <x:c r="S30" s="32" t="str">
        <x:f>IF(OR(B30="",C30=""),"Raw scores available; T-scores not calculated because age/sex is missing",IF(R30=0,"Complete",IF(R30&lt;=2,"Missing item(s); affected subscale score prorated","Review missing responses")))</x:f>
        <x:v>Complete</x:v>
      </x:c>
    </x:row>
    <x:row r="31">
      <x:c r="A31" s="21" t="str">
        <x:v>P27</x:v>
      </x:c>
      <x:c r="B31" s="34" t="n">
        <x:v>14</x:v>
      </x:c>
      <x:c r="C31" s="21" t="str">
        <x:v>Female</x:v>
      </x:c>
      <x:c r="D31" s="36" t="n">
        <x:f>IF(COUNT('Item Scores'!E28,'Item Scores'!H28,'Item Scores'!I28,'Item Scores'!M28,'Item Scores'!U28,'Item Scores'!AE28,'Item Scores'!AG28,'Item Scores'!AM28,'Item Scores'!AR28)&lt;7,"",ROUND(SUM('Item Scores'!E28,'Item Scores'!H28,'Item Scores'!I28,'Item Scores'!M28,'Item Scores'!U28,'Item Scores'!AE28,'Item Scores'!AG28,'Item Scores'!AM28,'Item Scores'!AR28)/COUNT('Item Scores'!E28,'Item Scores'!H28,'Item Scores'!I28,'Item Scores'!M28,'Item Scores'!U28,'Item Scores'!AE28,'Item Scores'!AG28,'Item Scores'!AM28,'Item Scores'!AR28)*9,0))</x:f>
        <x:v>20</x:v>
      </x:c>
      <x:c r="E31" s="36" t="n">
        <x:f>IF(COUNT('Item Scores'!D28,'Item Scores'!O28,'Item Scores'!Y28,'Item Scores'!AA28,'Item Scores'!AC28,'Item Scores'!AI28,'Item Scores'!AK28,'Item Scores'!AN28,'Item Scores'!AP28)&lt;7,"",ROUND(SUM('Item Scores'!D28,'Item Scores'!O28,'Item Scores'!Y28,'Item Scores'!AA28,'Item Scores'!AC28,'Item Scores'!AI28,'Item Scores'!AK28,'Item Scores'!AN28,'Item Scores'!AP28)/COUNT('Item Scores'!D28,'Item Scores'!O28,'Item Scores'!Y28,'Item Scores'!AA28,'Item Scores'!AC28,'Item Scores'!AI28,'Item Scores'!AK28,'Item Scores'!AN28,'Item Scores'!AP28)*9,0))</x:f>
        <x:v>9</x:v>
      </x:c>
      <x:c r="F31" s="36" t="n">
        <x:f>IF(COUNT('Item Scores'!C28,'Item Scores'!G28,'Item Scores'!L28,'Item Scores'!P28,'Item Scores'!T28,'Item Scores'!V28,'Item Scores'!Z28,'Item Scores'!AD28,'Item Scores'!AO28,'Item Scores'!AV28)&lt;8,"",ROUND(SUM('Item Scores'!C28,'Item Scores'!G28,'Item Scores'!L28,'Item Scores'!P28,'Item Scores'!T28,'Item Scores'!V28,'Item Scores'!Z28,'Item Scores'!AD28,'Item Scores'!AO28,'Item Scores'!AV28)/COUNT('Item Scores'!C28,'Item Scores'!G28,'Item Scores'!L28,'Item Scores'!P28,'Item Scores'!T28,'Item Scores'!V28,'Item Scores'!Z28,'Item Scores'!AD28,'Item Scores'!AO28,'Item Scores'!AV28)*10,0))</x:f>
        <x:v>14</x:v>
      </x:c>
      <x:c r="G31" s="36" t="n">
        <x:f>IF(COUNT('Item Scores'!F28,'Item Scores'!J28,'Item Scores'!R28,'Item Scores'!S28,'Item Scores'!AH28,'Item Scores'!AT28,'Item Scores'!AU28)&lt;5,"",ROUND(SUM('Item Scores'!F28,'Item Scores'!J28,'Item Scores'!R28,'Item Scores'!S28,'Item Scores'!AH28,'Item Scores'!AT28,'Item Scores'!AU28)/COUNT('Item Scores'!F28,'Item Scores'!J28,'Item Scores'!R28,'Item Scores'!S28,'Item Scores'!AH28,'Item Scores'!AT28,'Item Scores'!AU28)*7,0))</x:f>
        <x:v>12</x:v>
      </x:c>
      <x:c r="H31" s="36" t="n">
        <x:f>IF(COUNT('Item Scores'!B28,'Item Scores'!N28,'Item Scores'!W28,'Item Scores'!AB28,'Item Scores'!AJ28,'Item Scores'!AL28)&lt;4,"",ROUND(SUM('Item Scores'!B28,'Item Scores'!N28,'Item Scores'!W28,'Item Scores'!AB28,'Item Scores'!AJ28,'Item Scores'!AL28)/COUNT('Item Scores'!B28,'Item Scores'!N28,'Item Scores'!W28,'Item Scores'!AB28,'Item Scores'!AJ28,'Item Scores'!AL28)*6,0))</x:f>
        <x:v>15</x:v>
      </x:c>
      <x:c r="I31" s="36" t="n">
        <x:f>IF(COUNT('Item Scores'!K28,'Item Scores'!Q28,'Item Scores'!X28,'Item Scores'!AF28,'Item Scores'!AQ28,'Item Scores'!AS28)&lt;4,"",ROUND(SUM('Item Scores'!K28,'Item Scores'!Q28,'Item Scores'!X28,'Item Scores'!AF28,'Item Scores'!AQ28,'Item Scores'!AS28)/COUNT('Item Scores'!K28,'Item Scores'!Q28,'Item Scores'!X28,'Item Scores'!AF28,'Item Scores'!AQ28,'Item Scores'!AS28)*6,0))</x:f>
        <x:v>3</x:v>
      </x:c>
      <x:c r="J31" s="37" t="n">
        <x:f>IF(OR($Q31="",$C31=""),"",IFERROR(VLOOKUP($Q31&amp;"|"&amp;$C31&amp;"|SP|"&amp;D31,'Norm Tables'!$A$2:$F$589,6,FALSE),""))</x:f>
        <x:v>64</x:v>
      </x:c>
      <x:c r="K31" s="36" t="n">
        <x:f>IF(OR($Q31="",$C31=""),"",IFERROR(VLOOKUP($Q31&amp;"|"&amp;$C31&amp;"|PD|"&amp;E31,'Norm Tables'!$A$2:$F$589,6,FALSE),""))</x:f>
        <x:v>60</x:v>
      </x:c>
      <x:c r="L31" s="36" t="n">
        <x:f>IF(OR($Q31="",$C31=""),"",IFERROR(VLOOKUP($Q31&amp;"|"&amp;$C31&amp;"|MDD|"&amp;F31,'Norm Tables'!$A$2:$F$589,6,FALSE),""))</x:f>
        <x:v>66</x:v>
      </x:c>
      <x:c r="M31" s="36" t="n">
        <x:f>IF(OR($Q31="",$C31=""),"",IFERROR(VLOOKUP($Q31&amp;"|"&amp;$C31&amp;"|SAD|"&amp;G31,'Norm Tables'!$A$2:$F$589,6,FALSE),""))</x:f>
        <x:v>83</x:v>
      </x:c>
      <x:c r="N31" s="36" t="n">
        <x:f>IF(OR($Q31="",$C31=""),"",IFERROR(VLOOKUP($Q31&amp;"|"&amp;$C31&amp;"|GAD|"&amp;H31,'Norm Tables'!$A$2:$F$589,6,FALSE),""))</x:f>
        <x:v>74</x:v>
      </x:c>
      <x:c r="O31" s="36" t="n">
        <x:f>IF(OR($Q31="",$C31=""),"",IFERROR(VLOOKUP($Q31&amp;"|"&amp;$C31&amp;"|OCD|"&amp;I31,'Norm Tables'!$A$2:$F$589,6,FALSE),""))</x:f>
        <x:v>44</x:v>
      </x:c>
      <x:c r="P31" s="37" t="n">
        <x:f>IF(B31="","",B31-6)</x:f>
        <x:v>8</x:v>
      </x:c>
      <x:c r="Q31" s="36" t="str">
        <x:f>IF(P31="","",IF(OR(P31=7,P31=8),"7-8",IF(OR(P31=9,P31=10),"9-10","")))</x:f>
        <x:v>7-8</x:v>
      </x:c>
      <x:c r="R31" s="36" t="n">
        <x:f>COUNTBLANK('Item Scores'!B28:AV28)</x:f>
        <x:v>0</x:v>
      </x:c>
      <x:c r="S31" s="31" t="str">
        <x:f>IF(OR(B31="",C31=""),"Raw scores available; T-scores not calculated because age/sex is missing",IF(R31=0,"Complete",IF(R31&lt;=2,"Missing item(s); affected subscale score prorated","Review missing responses")))</x:f>
        <x:v>Complete</x:v>
      </x:c>
    </x:row>
    <x:row r="32">
      <x:c r="A32" s="22" t="str">
        <x:v>P28</x:v>
      </x:c>
      <x:c r="B32" s="35" t="n">
        <x:v>15</x:v>
      </x:c>
      <x:c r="C32" s="22" t="str">
        <x:v>Male</x:v>
      </x:c>
      <x:c r="D32" s="38" t="n">
        <x:f>IF(COUNT('Item Scores'!E29,'Item Scores'!H29,'Item Scores'!I29,'Item Scores'!M29,'Item Scores'!U29,'Item Scores'!AE29,'Item Scores'!AG29,'Item Scores'!AM29,'Item Scores'!AR29)&lt;7,"",ROUND(SUM('Item Scores'!E29,'Item Scores'!H29,'Item Scores'!I29,'Item Scores'!M29,'Item Scores'!U29,'Item Scores'!AE29,'Item Scores'!AG29,'Item Scores'!AM29,'Item Scores'!AR29)/COUNT('Item Scores'!E29,'Item Scores'!H29,'Item Scores'!I29,'Item Scores'!M29,'Item Scores'!U29,'Item Scores'!AE29,'Item Scores'!AG29,'Item Scores'!AM29,'Item Scores'!AR29)*9,0))</x:f>
        <x:v>4</x:v>
      </x:c>
      <x:c r="E32" s="38" t="n">
        <x:f>IF(COUNT('Item Scores'!D29,'Item Scores'!O29,'Item Scores'!Y29,'Item Scores'!AA29,'Item Scores'!AC29,'Item Scores'!AI29,'Item Scores'!AK29,'Item Scores'!AN29,'Item Scores'!AP29)&lt;7,"",ROUND(SUM('Item Scores'!D29,'Item Scores'!O29,'Item Scores'!Y29,'Item Scores'!AA29,'Item Scores'!AC29,'Item Scores'!AI29,'Item Scores'!AK29,'Item Scores'!AN29,'Item Scores'!AP29)/COUNT('Item Scores'!D29,'Item Scores'!O29,'Item Scores'!Y29,'Item Scores'!AA29,'Item Scores'!AC29,'Item Scores'!AI29,'Item Scores'!AK29,'Item Scores'!AN29,'Item Scores'!AP29)*9,0))</x:f>
        <x:v>2</x:v>
      </x:c>
      <x:c r="F32" s="38" t="n">
        <x:f>IF(COUNT('Item Scores'!C29,'Item Scores'!G29,'Item Scores'!L29,'Item Scores'!P29,'Item Scores'!T29,'Item Scores'!V29,'Item Scores'!Z29,'Item Scores'!AD29,'Item Scores'!AO29,'Item Scores'!AV29)&lt;8,"",ROUND(SUM('Item Scores'!C29,'Item Scores'!G29,'Item Scores'!L29,'Item Scores'!P29,'Item Scores'!T29,'Item Scores'!V29,'Item Scores'!Z29,'Item Scores'!AD29,'Item Scores'!AO29,'Item Scores'!AV29)/COUNT('Item Scores'!C29,'Item Scores'!G29,'Item Scores'!L29,'Item Scores'!P29,'Item Scores'!T29,'Item Scores'!V29,'Item Scores'!Z29,'Item Scores'!AD29,'Item Scores'!AO29,'Item Scores'!AV29)*10,0))</x:f>
        <x:v>4</x:v>
      </x:c>
      <x:c r="G32" s="38" t="n">
        <x:f>IF(COUNT('Item Scores'!F29,'Item Scores'!J29,'Item Scores'!R29,'Item Scores'!S29,'Item Scores'!AH29,'Item Scores'!AT29,'Item Scores'!AU29)&lt;5,"",ROUND(SUM('Item Scores'!F29,'Item Scores'!J29,'Item Scores'!R29,'Item Scores'!S29,'Item Scores'!AH29,'Item Scores'!AT29,'Item Scores'!AU29)/COUNT('Item Scores'!F29,'Item Scores'!J29,'Item Scores'!R29,'Item Scores'!S29,'Item Scores'!AH29,'Item Scores'!AT29,'Item Scores'!AU29)*7,0))</x:f>
        <x:v>0</x:v>
      </x:c>
      <x:c r="H32" s="38" t="n">
        <x:f>IF(COUNT('Item Scores'!B29,'Item Scores'!N29,'Item Scores'!W29,'Item Scores'!AB29,'Item Scores'!AJ29,'Item Scores'!AL29)&lt;4,"",ROUND(SUM('Item Scores'!B29,'Item Scores'!N29,'Item Scores'!W29,'Item Scores'!AB29,'Item Scores'!AJ29,'Item Scores'!AL29)/COUNT('Item Scores'!B29,'Item Scores'!N29,'Item Scores'!W29,'Item Scores'!AB29,'Item Scores'!AJ29,'Item Scores'!AL29)*6,0))</x:f>
        <x:v>1</x:v>
      </x:c>
      <x:c r="I32" s="38" t="n">
        <x:f>IF(COUNT('Item Scores'!K29,'Item Scores'!Q29,'Item Scores'!X29,'Item Scores'!AF29,'Item Scores'!AQ29,'Item Scores'!AS29)&lt;4,"",ROUND(SUM('Item Scores'!K29,'Item Scores'!Q29,'Item Scores'!X29,'Item Scores'!AF29,'Item Scores'!AQ29,'Item Scores'!AS29)/COUNT('Item Scores'!K29,'Item Scores'!Q29,'Item Scores'!X29,'Item Scores'!AF29,'Item Scores'!AQ29,'Item Scores'!AS29)*6,0))</x:f>
        <x:v>0</x:v>
      </x:c>
      <x:c r="J32" s="39" t="n">
        <x:f>IF(OR($Q32="",$C32=""),"",IFERROR(VLOOKUP($Q32&amp;"|"&amp;$C32&amp;"|SP|"&amp;D32,'Norm Tables'!$A$2:$F$589,6,FALSE),""))</x:f>
        <x:v>34</x:v>
      </x:c>
      <x:c r="K32" s="38" t="n">
        <x:f>IF(OR($Q32="",$C32=""),"",IFERROR(VLOOKUP($Q32&amp;"|"&amp;$C32&amp;"|PD|"&amp;E32,'Norm Tables'!$A$2:$F$589,6,FALSE),""))</x:f>
        <x:v>45</x:v>
      </x:c>
      <x:c r="L32" s="38" t="n">
        <x:f>IF(OR($Q32="",$C32=""),"",IFERROR(VLOOKUP($Q32&amp;"|"&amp;$C32&amp;"|MDD|"&amp;F32,'Norm Tables'!$A$2:$F$589,6,FALSE),""))</x:f>
        <x:v>42</x:v>
      </x:c>
      <x:c r="M32" s="38" t="n">
        <x:f>IF(OR($Q32="",$C32=""),"",IFERROR(VLOOKUP($Q32&amp;"|"&amp;$C32&amp;"|SAD|"&amp;G32,'Norm Tables'!$A$2:$F$589,6,FALSE),""))</x:f>
        <x:v>40</x:v>
      </x:c>
      <x:c r="N32" s="38" t="n">
        <x:f>IF(OR($Q32="",$C32=""),"",IFERROR(VLOOKUP($Q32&amp;"|"&amp;$C32&amp;"|GAD|"&amp;H32,'Norm Tables'!$A$2:$F$589,6,FALSE),""))</x:f>
        <x:v>29</x:v>
      </x:c>
      <x:c r="O32" s="38" t="n">
        <x:f>IF(OR($Q32="",$C32=""),"",IFERROR(VLOOKUP($Q32&amp;"|"&amp;$C32&amp;"|OCD|"&amp;I32,'Norm Tables'!$A$2:$F$589,6,FALSE),""))</x:f>
        <x:v>34</x:v>
      </x:c>
      <x:c r="P32" s="39" t="n">
        <x:f>IF(B32="","",B32-6)</x:f>
        <x:v>9</x:v>
      </x:c>
      <x:c r="Q32" s="38" t="str">
        <x:f>IF(P32="","",IF(OR(P32=7,P32=8),"7-8",IF(OR(P32=9,P32=10),"9-10","")))</x:f>
        <x:v>9-10</x:v>
      </x:c>
      <x:c r="R32" s="38" t="n">
        <x:f>COUNTBLANK('Item Scores'!B29:AV29)</x:f>
        <x:v>0</x:v>
      </x:c>
      <x:c r="S32" s="32" t="str">
        <x:f>IF(OR(B32="",C32=""),"Raw scores available; T-scores not calculated because age/sex is missing",IF(R32=0,"Complete",IF(R32&lt;=2,"Missing item(s); affected subscale score prorated","Review missing responses")))</x:f>
        <x:v>Complete</x:v>
      </x:c>
    </x:row>
    <x:row r="33">
      <x:c r="A33" s="21" t="str">
        <x:v>P29</x:v>
      </x:c>
      <x:c r="B33" s="34" t="n">
        <x:v>14</x:v>
      </x:c>
      <x:c r="C33" s="21" t="str">
        <x:v>Male</x:v>
      </x:c>
      <x:c r="D33" s="36" t="n">
        <x:f>IF(COUNT('Item Scores'!E30,'Item Scores'!H30,'Item Scores'!I30,'Item Scores'!M30,'Item Scores'!U30,'Item Scores'!AE30,'Item Scores'!AG30,'Item Scores'!AM30,'Item Scores'!AR30)&lt;7,"",ROUND(SUM('Item Scores'!E30,'Item Scores'!H30,'Item Scores'!I30,'Item Scores'!M30,'Item Scores'!U30,'Item Scores'!AE30,'Item Scores'!AG30,'Item Scores'!AM30,'Item Scores'!AR30)/COUNT('Item Scores'!E30,'Item Scores'!H30,'Item Scores'!I30,'Item Scores'!M30,'Item Scores'!U30,'Item Scores'!AE30,'Item Scores'!AG30,'Item Scores'!AM30,'Item Scores'!AR30)*9,0))</x:f>
        <x:v>14</x:v>
      </x:c>
      <x:c r="E33" s="36" t="n">
        <x:f>IF(COUNT('Item Scores'!D30,'Item Scores'!O30,'Item Scores'!Y30,'Item Scores'!AA30,'Item Scores'!AC30,'Item Scores'!AI30,'Item Scores'!AK30,'Item Scores'!AN30,'Item Scores'!AP30)&lt;7,"",ROUND(SUM('Item Scores'!D30,'Item Scores'!O30,'Item Scores'!Y30,'Item Scores'!AA30,'Item Scores'!AC30,'Item Scores'!AI30,'Item Scores'!AK30,'Item Scores'!AN30,'Item Scores'!AP30)/COUNT('Item Scores'!D30,'Item Scores'!O30,'Item Scores'!Y30,'Item Scores'!AA30,'Item Scores'!AC30,'Item Scores'!AI30,'Item Scores'!AK30,'Item Scores'!AN30,'Item Scores'!AP30)*9,0))</x:f>
        <x:v>4</x:v>
      </x:c>
      <x:c r="F33" s="36" t="n">
        <x:f>IF(COUNT('Item Scores'!C30,'Item Scores'!G30,'Item Scores'!L30,'Item Scores'!P30,'Item Scores'!T30,'Item Scores'!V30,'Item Scores'!Z30,'Item Scores'!AD30,'Item Scores'!AO30,'Item Scores'!AV30)&lt;8,"",ROUND(SUM('Item Scores'!C30,'Item Scores'!G30,'Item Scores'!L30,'Item Scores'!P30,'Item Scores'!T30,'Item Scores'!V30,'Item Scores'!Z30,'Item Scores'!AD30,'Item Scores'!AO30,'Item Scores'!AV30)/COUNT('Item Scores'!C30,'Item Scores'!G30,'Item Scores'!L30,'Item Scores'!P30,'Item Scores'!T30,'Item Scores'!V30,'Item Scores'!Z30,'Item Scores'!AD30,'Item Scores'!AO30,'Item Scores'!AV30)*10,0))</x:f>
        <x:v>8</x:v>
      </x:c>
      <x:c r="G33" s="36" t="n">
        <x:f>IF(COUNT('Item Scores'!F30,'Item Scores'!J30,'Item Scores'!R30,'Item Scores'!S30,'Item Scores'!AH30,'Item Scores'!AT30,'Item Scores'!AU30)&lt;5,"",ROUND(SUM('Item Scores'!F30,'Item Scores'!J30,'Item Scores'!R30,'Item Scores'!S30,'Item Scores'!AH30,'Item Scores'!AT30,'Item Scores'!AU30)/COUNT('Item Scores'!F30,'Item Scores'!J30,'Item Scores'!R30,'Item Scores'!S30,'Item Scores'!AH30,'Item Scores'!AT30,'Item Scores'!AU30)*7,0))</x:f>
        <x:v>2</x:v>
      </x:c>
      <x:c r="H33" s="36" t="n">
        <x:f>IF(COUNT('Item Scores'!B30,'Item Scores'!N30,'Item Scores'!W30,'Item Scores'!AB30,'Item Scores'!AJ30,'Item Scores'!AL30)&lt;4,"",ROUND(SUM('Item Scores'!B30,'Item Scores'!N30,'Item Scores'!W30,'Item Scores'!AB30,'Item Scores'!AJ30,'Item Scores'!AL30)/COUNT('Item Scores'!B30,'Item Scores'!N30,'Item Scores'!W30,'Item Scores'!AB30,'Item Scores'!AJ30,'Item Scores'!AL30)*6,0))</x:f>
        <x:v>9</x:v>
      </x:c>
      <x:c r="I33" s="36" t="n">
        <x:f>IF(COUNT('Item Scores'!K30,'Item Scores'!Q30,'Item Scores'!X30,'Item Scores'!AF30,'Item Scores'!AQ30,'Item Scores'!AS30)&lt;4,"",ROUND(SUM('Item Scores'!K30,'Item Scores'!Q30,'Item Scores'!X30,'Item Scores'!AF30,'Item Scores'!AQ30,'Item Scores'!AS30)/COUNT('Item Scores'!K30,'Item Scores'!Q30,'Item Scores'!X30,'Item Scores'!AF30,'Item Scores'!AQ30,'Item Scores'!AS30)*6,0))</x:f>
        <x:v>6</x:v>
      </x:c>
      <x:c r="J33" s="37" t="n">
        <x:f>IF(OR($Q33="",$C33=""),"",IFERROR(VLOOKUP($Q33&amp;"|"&amp;$C33&amp;"|SP|"&amp;D33,'Norm Tables'!$A$2:$F$589,6,FALSE),""))</x:f>
        <x:v>56</x:v>
      </x:c>
      <x:c r="K33" s="36" t="n">
        <x:f>IF(OR($Q33="",$C33=""),"",IFERROR(VLOOKUP($Q33&amp;"|"&amp;$C33&amp;"|PD|"&amp;E33,'Norm Tables'!$A$2:$F$589,6,FALSE),""))</x:f>
        <x:v>51</x:v>
      </x:c>
      <x:c r="L33" s="36" t="n">
        <x:f>IF(OR($Q33="",$C33=""),"",IFERROR(VLOOKUP($Q33&amp;"|"&amp;$C33&amp;"|MDD|"&amp;F33,'Norm Tables'!$A$2:$F$589,6,FALSE),""))</x:f>
        <x:v>54</x:v>
      </x:c>
      <x:c r="M33" s="36" t="n">
        <x:f>IF(OR($Q33="",$C33=""),"",IFERROR(VLOOKUP($Q33&amp;"|"&amp;$C33&amp;"|SAD|"&amp;G33,'Norm Tables'!$A$2:$F$589,6,FALSE),""))</x:f>
        <x:v>49</x:v>
      </x:c>
      <x:c r="N33" s="36" t="n">
        <x:f>IF(OR($Q33="",$C33=""),"",IFERROR(VLOOKUP($Q33&amp;"|"&amp;$C33&amp;"|GAD|"&amp;H33,'Norm Tables'!$A$2:$F$589,6,FALSE),""))</x:f>
        <x:v>59</x:v>
      </x:c>
      <x:c r="O33" s="36" t="n">
        <x:f>IF(OR($Q33="",$C33=""),"",IFERROR(VLOOKUP($Q33&amp;"|"&amp;$C33&amp;"|OCD|"&amp;I33,'Norm Tables'!$A$2:$F$589,6,FALSE),""))</x:f>
        <x:v>52</x:v>
      </x:c>
      <x:c r="P33" s="37" t="n">
        <x:f>IF(B33="","",B33-6)</x:f>
        <x:v>8</x:v>
      </x:c>
      <x:c r="Q33" s="36" t="str">
        <x:f>IF(P33="","",IF(OR(P33=7,P33=8),"7-8",IF(OR(P33=9,P33=10),"9-10","")))</x:f>
        <x:v>7-8</x:v>
      </x:c>
      <x:c r="R33" s="36" t="n">
        <x:f>COUNTBLANK('Item Scores'!B30:AV30)</x:f>
        <x:v>0</x:v>
      </x:c>
      <x:c r="S33" s="31" t="str">
        <x:f>IF(OR(B33="",C33=""),"Raw scores available; T-scores not calculated because age/sex is missing",IF(R33=0,"Complete",IF(R33&lt;=2,"Missing item(s); affected subscale score prorated","Review missing responses")))</x:f>
        <x:v>Complete</x:v>
      </x:c>
    </x:row>
    <x:row r="34">
      <x:c r="A34" s="22" t="str">
        <x:v>P30</x:v>
      </x:c>
      <x:c r="B34" s="35" t="n">
        <x:v>14</x:v>
      </x:c>
      <x:c r="C34" s="22" t="str">
        <x:v>Female</x:v>
      </x:c>
      <x:c r="D34" s="38" t="n">
        <x:f>IF(COUNT('Item Scores'!E31,'Item Scores'!H31,'Item Scores'!I31,'Item Scores'!M31,'Item Scores'!U31,'Item Scores'!AE31,'Item Scores'!AG31,'Item Scores'!AM31,'Item Scores'!AR31)&lt;7,"",ROUND(SUM('Item Scores'!E31,'Item Scores'!H31,'Item Scores'!I31,'Item Scores'!M31,'Item Scores'!U31,'Item Scores'!AE31,'Item Scores'!AG31,'Item Scores'!AM31,'Item Scores'!AR31)/COUNT('Item Scores'!E31,'Item Scores'!H31,'Item Scores'!I31,'Item Scores'!M31,'Item Scores'!U31,'Item Scores'!AE31,'Item Scores'!AG31,'Item Scores'!AM31,'Item Scores'!AR31)*9,0))</x:f>
        <x:v>6</x:v>
      </x:c>
      <x:c r="E34" s="38" t="n">
        <x:f>IF(COUNT('Item Scores'!D31,'Item Scores'!O31,'Item Scores'!Y31,'Item Scores'!AA31,'Item Scores'!AC31,'Item Scores'!AI31,'Item Scores'!AK31,'Item Scores'!AN31,'Item Scores'!AP31)&lt;7,"",ROUND(SUM('Item Scores'!D31,'Item Scores'!O31,'Item Scores'!Y31,'Item Scores'!AA31,'Item Scores'!AC31,'Item Scores'!AI31,'Item Scores'!AK31,'Item Scores'!AN31,'Item Scores'!AP31)/COUNT('Item Scores'!D31,'Item Scores'!O31,'Item Scores'!Y31,'Item Scores'!AA31,'Item Scores'!AC31,'Item Scores'!AI31,'Item Scores'!AK31,'Item Scores'!AN31,'Item Scores'!AP31)*9,0))</x:f>
        <x:v>8</x:v>
      </x:c>
      <x:c r="F34" s="38" t="n">
        <x:f>IF(COUNT('Item Scores'!C31,'Item Scores'!G31,'Item Scores'!L31,'Item Scores'!P31,'Item Scores'!T31,'Item Scores'!V31,'Item Scores'!Z31,'Item Scores'!AD31,'Item Scores'!AO31,'Item Scores'!AV31)&lt;8,"",ROUND(SUM('Item Scores'!C31,'Item Scores'!G31,'Item Scores'!L31,'Item Scores'!P31,'Item Scores'!T31,'Item Scores'!V31,'Item Scores'!Z31,'Item Scores'!AD31,'Item Scores'!AO31,'Item Scores'!AV31)/COUNT('Item Scores'!C31,'Item Scores'!G31,'Item Scores'!L31,'Item Scores'!P31,'Item Scores'!T31,'Item Scores'!V31,'Item Scores'!Z31,'Item Scores'!AD31,'Item Scores'!AO31,'Item Scores'!AV31)*10,0))</x:f>
        <x:v>6</x:v>
      </x:c>
      <x:c r="G34" s="38" t="n">
        <x:f>IF(COUNT('Item Scores'!F31,'Item Scores'!J31,'Item Scores'!R31,'Item Scores'!S31,'Item Scores'!AH31,'Item Scores'!AT31,'Item Scores'!AU31)&lt;5,"",ROUND(SUM('Item Scores'!F31,'Item Scores'!J31,'Item Scores'!R31,'Item Scores'!S31,'Item Scores'!AH31,'Item Scores'!AT31,'Item Scores'!AU31)/COUNT('Item Scores'!F31,'Item Scores'!J31,'Item Scores'!R31,'Item Scores'!S31,'Item Scores'!AH31,'Item Scores'!AT31,'Item Scores'!AU31)*7,0))</x:f>
        <x:v>2</x:v>
      </x:c>
      <x:c r="H34" s="38" t="n">
        <x:f>IF(COUNT('Item Scores'!B31,'Item Scores'!N31,'Item Scores'!W31,'Item Scores'!AB31,'Item Scores'!AJ31,'Item Scores'!AL31)&lt;4,"",ROUND(SUM('Item Scores'!B31,'Item Scores'!N31,'Item Scores'!W31,'Item Scores'!AB31,'Item Scores'!AJ31,'Item Scores'!AL31)/COUNT('Item Scores'!B31,'Item Scores'!N31,'Item Scores'!W31,'Item Scores'!AB31,'Item Scores'!AJ31,'Item Scores'!AL31)*6,0))</x:f>
        <x:v>6</x:v>
      </x:c>
      <x:c r="I34" s="38" t="n">
        <x:f>IF(COUNT('Item Scores'!K31,'Item Scores'!Q31,'Item Scores'!X31,'Item Scores'!AF31,'Item Scores'!AQ31,'Item Scores'!AS31)&lt;4,"",ROUND(SUM('Item Scores'!K31,'Item Scores'!Q31,'Item Scores'!X31,'Item Scores'!AF31,'Item Scores'!AQ31,'Item Scores'!AS31)/COUNT('Item Scores'!K31,'Item Scores'!Q31,'Item Scores'!X31,'Item Scores'!AF31,'Item Scores'!AQ31,'Item Scores'!AS31)*6,0))</x:f>
        <x:v>11</x:v>
      </x:c>
      <x:c r="J34" s="39" t="n">
        <x:f>IF(OR($Q34="",$C34=""),"",IFERROR(VLOOKUP($Q34&amp;"|"&amp;$C34&amp;"|SP|"&amp;D34,'Norm Tables'!$A$2:$F$589,6,FALSE),""))</x:f>
        <x:v>36</x:v>
      </x:c>
      <x:c r="K34" s="38" t="n">
        <x:f>IF(OR($Q34="",$C34=""),"",IFERROR(VLOOKUP($Q34&amp;"|"&amp;$C34&amp;"|PD|"&amp;E34,'Norm Tables'!$A$2:$F$589,6,FALSE),""))</x:f>
        <x:v>58</x:v>
      </x:c>
      <x:c r="L34" s="38" t="n">
        <x:f>IF(OR($Q34="",$C34=""),"",IFERROR(VLOOKUP($Q34&amp;"|"&amp;$C34&amp;"|MDD|"&amp;F34,'Norm Tables'!$A$2:$F$589,6,FALSE),""))</x:f>
        <x:v>45</x:v>
      </x:c>
      <x:c r="M34" s="38" t="n">
        <x:f>IF(OR($Q34="",$C34=""),"",IFERROR(VLOOKUP($Q34&amp;"|"&amp;$C34&amp;"|SAD|"&amp;G34,'Norm Tables'!$A$2:$F$589,6,FALSE),""))</x:f>
        <x:v>46</x:v>
      </x:c>
      <x:c r="N34" s="38" t="n">
        <x:f>IF(OR($Q34="",$C34=""),"",IFERROR(VLOOKUP($Q34&amp;"|"&amp;$C34&amp;"|GAD|"&amp;H34,'Norm Tables'!$A$2:$F$589,6,FALSE),""))</x:f>
        <x:v>46</x:v>
      </x:c>
      <x:c r="O34" s="38" t="n">
        <x:f>IF(OR($Q34="",$C34=""),"",IFERROR(VLOOKUP($Q34&amp;"|"&amp;$C34&amp;"|OCD|"&amp;I34,'Norm Tables'!$A$2:$F$589,6,FALSE),""))</x:f>
        <x:v>68</x:v>
      </x:c>
      <x:c r="P34" s="39" t="n">
        <x:f>IF(B34="","",B34-6)</x:f>
        <x:v>8</x:v>
      </x:c>
      <x:c r="Q34" s="38" t="str">
        <x:f>IF(P34="","",IF(OR(P34=7,P34=8),"7-8",IF(OR(P34=9,P34=10),"9-10","")))</x:f>
        <x:v>7-8</x:v>
      </x:c>
      <x:c r="R34" s="38" t="n">
        <x:f>COUNTBLANK('Item Scores'!B31:AV31)</x:f>
        <x:v>0</x:v>
      </x:c>
      <x:c r="S34" s="32" t="str">
        <x:f>IF(OR(B34="",C34=""),"Raw scores available; T-scores not calculated because age/sex is missing",IF(R34=0,"Complete",IF(R34&lt;=2,"Missing item(s); affected subscale score prorated","Review missing responses")))</x:f>
        <x:v>Complete</x:v>
      </x:c>
    </x:row>
    <x:row r="35">
      <x:c r="A35" s="21" t="str">
        <x:v>P31</x:v>
      </x:c>
      <x:c r="B35" s="34" t="n">
        <x:v>14</x:v>
      </x:c>
      <x:c r="C35" s="21" t="str">
        <x:v>Female</x:v>
      </x:c>
      <x:c r="D35" s="36" t="n">
        <x:f>IF(COUNT('Item Scores'!E32,'Item Scores'!H32,'Item Scores'!I32,'Item Scores'!M32,'Item Scores'!U32,'Item Scores'!AE32,'Item Scores'!AG32,'Item Scores'!AM32,'Item Scores'!AR32)&lt;7,"",ROUND(SUM('Item Scores'!E32,'Item Scores'!H32,'Item Scores'!I32,'Item Scores'!M32,'Item Scores'!U32,'Item Scores'!AE32,'Item Scores'!AG32,'Item Scores'!AM32,'Item Scores'!AR32)/COUNT('Item Scores'!E32,'Item Scores'!H32,'Item Scores'!I32,'Item Scores'!M32,'Item Scores'!U32,'Item Scores'!AE32,'Item Scores'!AG32,'Item Scores'!AM32,'Item Scores'!AR32)*9,0))</x:f>
        <x:v>2</x:v>
      </x:c>
      <x:c r="E35" s="36" t="n">
        <x:f>IF(COUNT('Item Scores'!D32,'Item Scores'!O32,'Item Scores'!Y32,'Item Scores'!AA32,'Item Scores'!AC32,'Item Scores'!AI32,'Item Scores'!AK32,'Item Scores'!AN32,'Item Scores'!AP32)&lt;7,"",ROUND(SUM('Item Scores'!D32,'Item Scores'!O32,'Item Scores'!Y32,'Item Scores'!AA32,'Item Scores'!AC32,'Item Scores'!AI32,'Item Scores'!AK32,'Item Scores'!AN32,'Item Scores'!AP32)/COUNT('Item Scores'!D32,'Item Scores'!O32,'Item Scores'!Y32,'Item Scores'!AA32,'Item Scores'!AC32,'Item Scores'!AI32,'Item Scores'!AK32,'Item Scores'!AN32,'Item Scores'!AP32)*9,0))</x:f>
        <x:v>0</x:v>
      </x:c>
      <x:c r="F35" s="36" t="n">
        <x:f>IF(COUNT('Item Scores'!C32,'Item Scores'!G32,'Item Scores'!L32,'Item Scores'!P32,'Item Scores'!T32,'Item Scores'!V32,'Item Scores'!Z32,'Item Scores'!AD32,'Item Scores'!AO32,'Item Scores'!AV32)&lt;8,"",ROUND(SUM('Item Scores'!C32,'Item Scores'!G32,'Item Scores'!L32,'Item Scores'!P32,'Item Scores'!T32,'Item Scores'!V32,'Item Scores'!Z32,'Item Scores'!AD32,'Item Scores'!AO32,'Item Scores'!AV32)/COUNT('Item Scores'!C32,'Item Scores'!G32,'Item Scores'!L32,'Item Scores'!P32,'Item Scores'!T32,'Item Scores'!V32,'Item Scores'!Z32,'Item Scores'!AD32,'Item Scores'!AO32,'Item Scores'!AV32)*10,0))</x:f>
        <x:v>0</x:v>
      </x:c>
      <x:c r="G35" s="36" t="n">
        <x:f>IF(COUNT('Item Scores'!F32,'Item Scores'!J32,'Item Scores'!R32,'Item Scores'!S32,'Item Scores'!AH32,'Item Scores'!AT32,'Item Scores'!AU32)&lt;5,"",ROUND(SUM('Item Scores'!F32,'Item Scores'!J32,'Item Scores'!R32,'Item Scores'!S32,'Item Scores'!AH32,'Item Scores'!AT32,'Item Scores'!AU32)/COUNT('Item Scores'!F32,'Item Scores'!J32,'Item Scores'!R32,'Item Scores'!S32,'Item Scores'!AH32,'Item Scores'!AT32,'Item Scores'!AU32)*7,0))</x:f>
        <x:v>0</x:v>
      </x:c>
      <x:c r="H35" s="36" t="n">
        <x:f>IF(COUNT('Item Scores'!B32,'Item Scores'!N32,'Item Scores'!W32,'Item Scores'!AB32,'Item Scores'!AJ32,'Item Scores'!AL32)&lt;4,"",ROUND(SUM('Item Scores'!B32,'Item Scores'!N32,'Item Scores'!W32,'Item Scores'!AB32,'Item Scores'!AJ32,'Item Scores'!AL32)/COUNT('Item Scores'!B32,'Item Scores'!N32,'Item Scores'!W32,'Item Scores'!AB32,'Item Scores'!AJ32,'Item Scores'!AL32)*6,0))</x:f>
        <x:v>1</x:v>
      </x:c>
      <x:c r="I35" s="36" t="n">
        <x:f>IF(COUNT('Item Scores'!K32,'Item Scores'!Q32,'Item Scores'!X32,'Item Scores'!AF32,'Item Scores'!AQ32,'Item Scores'!AS32)&lt;4,"",ROUND(SUM('Item Scores'!K32,'Item Scores'!Q32,'Item Scores'!X32,'Item Scores'!AF32,'Item Scores'!AQ32,'Item Scores'!AS32)/COUNT('Item Scores'!K32,'Item Scores'!Q32,'Item Scores'!X32,'Item Scores'!AF32,'Item Scores'!AQ32,'Item Scores'!AS32)*6,0))</x:f>
        <x:v>0</x:v>
      </x:c>
      <x:c r="J35" s="37" t="n">
        <x:f>IF(OR($Q35="",$C35=""),"",IFERROR(VLOOKUP($Q35&amp;"|"&amp;$C35&amp;"|SP|"&amp;D35,'Norm Tables'!$A$2:$F$589,6,FALSE),""))</x:f>
        <x:v>28</x:v>
      </x:c>
      <x:c r="K35" s="36" t="n">
        <x:f>IF(OR($Q35="",$C35=""),"",IFERROR(VLOOKUP($Q35&amp;"|"&amp;$C35&amp;"|PD|"&amp;E35,'Norm Tables'!$A$2:$F$589,6,FALSE),""))</x:f>
        <x:v>37</x:v>
      </x:c>
      <x:c r="L35" s="36" t="n">
        <x:f>IF(OR($Q35="",$C35=""),"",IFERROR(VLOOKUP($Q35&amp;"|"&amp;$C35&amp;"|MDD|"&amp;F35,'Norm Tables'!$A$2:$F$589,6,FALSE),""))</x:f>
        <x:v>30</x:v>
      </x:c>
      <x:c r="M35" s="36" t="n">
        <x:f>IF(OR($Q35="",$C35=""),"",IFERROR(VLOOKUP($Q35&amp;"|"&amp;$C35&amp;"|SAD|"&amp;G35,'Norm Tables'!$A$2:$F$589,6,FALSE),""))</x:f>
        <x:v>39</x:v>
      </x:c>
      <x:c r="N35" s="36" t="n">
        <x:f>IF(OR($Q35="",$C35=""),"",IFERROR(VLOOKUP($Q35&amp;"|"&amp;$C35&amp;"|GAD|"&amp;H35,'Norm Tables'!$A$2:$F$589,6,FALSE),""))</x:f>
        <x:v>30</x:v>
      </x:c>
      <x:c r="O35" s="36" t="n">
        <x:f>IF(OR($Q35="",$C35=""),"",IFERROR(VLOOKUP($Q35&amp;"|"&amp;$C35&amp;"|OCD|"&amp;I35,'Norm Tables'!$A$2:$F$589,6,FALSE),""))</x:f>
        <x:v>35</x:v>
      </x:c>
      <x:c r="P35" s="37" t="n">
        <x:f>IF(B35="","",B35-6)</x:f>
        <x:v>8</x:v>
      </x:c>
      <x:c r="Q35" s="36" t="str">
        <x:f>IF(P35="","",IF(OR(P35=7,P35=8),"7-8",IF(OR(P35=9,P35=10),"9-10","")))</x:f>
        <x:v>7-8</x:v>
      </x:c>
      <x:c r="R35" s="36" t="n">
        <x:f>COUNTBLANK('Item Scores'!B32:AV32)</x:f>
        <x:v>0</x:v>
      </x:c>
      <x:c r="S35" s="31" t="str">
        <x:f>IF(OR(B35="",C35=""),"Raw scores available; T-scores not calculated because age/sex is missing",IF(R35=0,"Complete",IF(R35&lt;=2,"Missing item(s); affected subscale score prorated","Review missing responses")))</x:f>
        <x:v>Complete</x:v>
      </x:c>
    </x:row>
    <x:row r="36">
      <x:c r="A36" s="22" t="str">
        <x:v>P32</x:v>
      </x:c>
      <x:c r="B36" s="35" t="n">
        <x:v>14</x:v>
      </x:c>
      <x:c r="C36" s="22" t="str">
        <x:v>Female</x:v>
      </x:c>
      <x:c r="D36" s="38" t="n">
        <x:f>IF(COUNT('Item Scores'!E33,'Item Scores'!H33,'Item Scores'!I33,'Item Scores'!M33,'Item Scores'!U33,'Item Scores'!AE33,'Item Scores'!AG33,'Item Scores'!AM33,'Item Scores'!AR33)&lt;7,"",ROUND(SUM('Item Scores'!E33,'Item Scores'!H33,'Item Scores'!I33,'Item Scores'!M33,'Item Scores'!U33,'Item Scores'!AE33,'Item Scores'!AG33,'Item Scores'!AM33,'Item Scores'!AR33)/COUNT('Item Scores'!E33,'Item Scores'!H33,'Item Scores'!I33,'Item Scores'!M33,'Item Scores'!U33,'Item Scores'!AE33,'Item Scores'!AG33,'Item Scores'!AM33,'Item Scores'!AR33)*9,0))</x:f>
        <x:v>9</x:v>
      </x:c>
      <x:c r="E36" s="38" t="n">
        <x:f>IF(COUNT('Item Scores'!D33,'Item Scores'!O33,'Item Scores'!Y33,'Item Scores'!AA33,'Item Scores'!AC33,'Item Scores'!AI33,'Item Scores'!AK33,'Item Scores'!AN33,'Item Scores'!AP33)&lt;7,"",ROUND(SUM('Item Scores'!D33,'Item Scores'!O33,'Item Scores'!Y33,'Item Scores'!AA33,'Item Scores'!AC33,'Item Scores'!AI33,'Item Scores'!AK33,'Item Scores'!AN33,'Item Scores'!AP33)/COUNT('Item Scores'!D33,'Item Scores'!O33,'Item Scores'!Y33,'Item Scores'!AA33,'Item Scores'!AC33,'Item Scores'!AI33,'Item Scores'!AK33,'Item Scores'!AN33,'Item Scores'!AP33)*9,0))</x:f>
        <x:v>2</x:v>
      </x:c>
      <x:c r="F36" s="38" t="n">
        <x:f>IF(COUNT('Item Scores'!C33,'Item Scores'!G33,'Item Scores'!L33,'Item Scores'!P33,'Item Scores'!T33,'Item Scores'!V33,'Item Scores'!Z33,'Item Scores'!AD33,'Item Scores'!AO33,'Item Scores'!AV33)&lt;8,"",ROUND(SUM('Item Scores'!C33,'Item Scores'!G33,'Item Scores'!L33,'Item Scores'!P33,'Item Scores'!T33,'Item Scores'!V33,'Item Scores'!Z33,'Item Scores'!AD33,'Item Scores'!AO33,'Item Scores'!AV33)/COUNT('Item Scores'!C33,'Item Scores'!G33,'Item Scores'!L33,'Item Scores'!P33,'Item Scores'!T33,'Item Scores'!V33,'Item Scores'!Z33,'Item Scores'!AD33,'Item Scores'!AO33,'Item Scores'!AV33)*10,0))</x:f>
        <x:v>3</x:v>
      </x:c>
      <x:c r="G36" s="38" t="n">
        <x:f>IF(COUNT('Item Scores'!F33,'Item Scores'!J33,'Item Scores'!R33,'Item Scores'!S33,'Item Scores'!AH33,'Item Scores'!AT33,'Item Scores'!AU33)&lt;5,"",ROUND(SUM('Item Scores'!F33,'Item Scores'!J33,'Item Scores'!R33,'Item Scores'!S33,'Item Scores'!AH33,'Item Scores'!AT33,'Item Scores'!AU33)/COUNT('Item Scores'!F33,'Item Scores'!J33,'Item Scores'!R33,'Item Scores'!S33,'Item Scores'!AH33,'Item Scores'!AT33,'Item Scores'!AU33)*7,0))</x:f>
        <x:v>1</x:v>
      </x:c>
      <x:c r="H36" s="38" t="n">
        <x:f>IF(COUNT('Item Scores'!B33,'Item Scores'!N33,'Item Scores'!W33,'Item Scores'!AB33,'Item Scores'!AJ33,'Item Scores'!AL33)&lt;4,"",ROUND(SUM('Item Scores'!B33,'Item Scores'!N33,'Item Scores'!W33,'Item Scores'!AB33,'Item Scores'!AJ33,'Item Scores'!AL33)/COUNT('Item Scores'!B33,'Item Scores'!N33,'Item Scores'!W33,'Item Scores'!AB33,'Item Scores'!AJ33,'Item Scores'!AL33)*6,0))</x:f>
        <x:v>2</x:v>
      </x:c>
      <x:c r="I36" s="38" t="n">
        <x:f>IF(COUNT('Item Scores'!K33,'Item Scores'!Q33,'Item Scores'!X33,'Item Scores'!AF33,'Item Scores'!AQ33,'Item Scores'!AS33)&lt;4,"",ROUND(SUM('Item Scores'!K33,'Item Scores'!Q33,'Item Scores'!X33,'Item Scores'!AF33,'Item Scores'!AQ33,'Item Scores'!AS33)/COUNT('Item Scores'!K33,'Item Scores'!Q33,'Item Scores'!X33,'Item Scores'!AF33,'Item Scores'!AQ33,'Item Scores'!AS33)*6,0))</x:f>
        <x:v>0</x:v>
      </x:c>
      <x:c r="J36" s="39" t="n">
        <x:f>IF(OR($Q36="",$C36=""),"",IFERROR(VLOOKUP($Q36&amp;"|"&amp;$C36&amp;"|SP|"&amp;D36,'Norm Tables'!$A$2:$F$589,6,FALSE),""))</x:f>
        <x:v>42</x:v>
      </x:c>
      <x:c r="K36" s="38" t="n">
        <x:f>IF(OR($Q36="",$C36=""),"",IFERROR(VLOOKUP($Q36&amp;"|"&amp;$C36&amp;"|PD|"&amp;E36,'Norm Tables'!$A$2:$F$589,6,FALSE),""))</x:f>
        <x:v>42</x:v>
      </x:c>
      <x:c r="L36" s="38" t="n">
        <x:f>IF(OR($Q36="",$C36=""),"",IFERROR(VLOOKUP($Q36&amp;"|"&amp;$C36&amp;"|MDD|"&amp;F36,'Norm Tables'!$A$2:$F$589,6,FALSE),""))</x:f>
        <x:v>37</x:v>
      </x:c>
      <x:c r="M36" s="38" t="n">
        <x:f>IF(OR($Q36="",$C36=""),"",IFERROR(VLOOKUP($Q36&amp;"|"&amp;$C36&amp;"|SAD|"&amp;G36,'Norm Tables'!$A$2:$F$589,6,FALSE),""))</x:f>
        <x:v>43</x:v>
      </x:c>
      <x:c r="N36" s="38" t="n">
        <x:f>IF(OR($Q36="",$C36=""),"",IFERROR(VLOOKUP($Q36&amp;"|"&amp;$C36&amp;"|GAD|"&amp;H36,'Norm Tables'!$A$2:$F$589,6,FALSE),""))</x:f>
        <x:v>33</x:v>
      </x:c>
      <x:c r="O36" s="38" t="n">
        <x:f>IF(OR($Q36="",$C36=""),"",IFERROR(VLOOKUP($Q36&amp;"|"&amp;$C36&amp;"|OCD|"&amp;I36,'Norm Tables'!$A$2:$F$589,6,FALSE),""))</x:f>
        <x:v>35</x:v>
      </x:c>
      <x:c r="P36" s="39" t="n">
        <x:f>IF(B36="","",B36-6)</x:f>
        <x:v>8</x:v>
      </x:c>
      <x:c r="Q36" s="38" t="str">
        <x:f>IF(P36="","",IF(OR(P36=7,P36=8),"7-8",IF(OR(P36=9,P36=10),"9-10","")))</x:f>
        <x:v>7-8</x:v>
      </x:c>
      <x:c r="R36" s="38" t="n">
        <x:f>COUNTBLANK('Item Scores'!B33:AV33)</x:f>
        <x:v>0</x:v>
      </x:c>
      <x:c r="S36" s="32" t="str">
        <x:f>IF(OR(B36="",C36=""),"Raw scores available; T-scores not calculated because age/sex is missing",IF(R36=0,"Complete",IF(R36&lt;=2,"Missing item(s); affected subscale score prorated","Review missing responses")))</x:f>
        <x:v>Complete</x:v>
      </x:c>
    </x:row>
    <x:row r="37">
      <x:c r="A37" s="21" t="str">
        <x:v>P33</x:v>
      </x:c>
      <x:c r="B37" s="34" t="n">
        <x:v>14</x:v>
      </x:c>
      <x:c r="C37" s="21" t="str">
        <x:v>Male</x:v>
      </x:c>
      <x:c r="D37" s="36" t="n">
        <x:f>IF(COUNT('Item Scores'!E34,'Item Scores'!H34,'Item Scores'!I34,'Item Scores'!M34,'Item Scores'!U34,'Item Scores'!AE34,'Item Scores'!AG34,'Item Scores'!AM34,'Item Scores'!AR34)&lt;7,"",ROUND(SUM('Item Scores'!E34,'Item Scores'!H34,'Item Scores'!I34,'Item Scores'!M34,'Item Scores'!U34,'Item Scores'!AE34,'Item Scores'!AG34,'Item Scores'!AM34,'Item Scores'!AR34)/COUNT('Item Scores'!E34,'Item Scores'!H34,'Item Scores'!I34,'Item Scores'!M34,'Item Scores'!U34,'Item Scores'!AE34,'Item Scores'!AG34,'Item Scores'!AM34,'Item Scores'!AR34)*9,0))</x:f>
        <x:v>14</x:v>
      </x:c>
      <x:c r="E37" s="36" t="n">
        <x:f>IF(COUNT('Item Scores'!D34,'Item Scores'!O34,'Item Scores'!Y34,'Item Scores'!AA34,'Item Scores'!AC34,'Item Scores'!AI34,'Item Scores'!AK34,'Item Scores'!AN34,'Item Scores'!AP34)&lt;7,"",ROUND(SUM('Item Scores'!D34,'Item Scores'!O34,'Item Scores'!Y34,'Item Scores'!AA34,'Item Scores'!AC34,'Item Scores'!AI34,'Item Scores'!AK34,'Item Scores'!AN34,'Item Scores'!AP34)/COUNT('Item Scores'!D34,'Item Scores'!O34,'Item Scores'!Y34,'Item Scores'!AA34,'Item Scores'!AC34,'Item Scores'!AI34,'Item Scores'!AK34,'Item Scores'!AN34,'Item Scores'!AP34)*9,0))</x:f>
        <x:v>1</x:v>
      </x:c>
      <x:c r="F37" s="36" t="n">
        <x:f>IF(COUNT('Item Scores'!C34,'Item Scores'!G34,'Item Scores'!L34,'Item Scores'!P34,'Item Scores'!T34,'Item Scores'!V34,'Item Scores'!Z34,'Item Scores'!AD34,'Item Scores'!AO34,'Item Scores'!AV34)&lt;8,"",ROUND(SUM('Item Scores'!C34,'Item Scores'!G34,'Item Scores'!L34,'Item Scores'!P34,'Item Scores'!T34,'Item Scores'!V34,'Item Scores'!Z34,'Item Scores'!AD34,'Item Scores'!AO34,'Item Scores'!AV34)/COUNT('Item Scores'!C34,'Item Scores'!G34,'Item Scores'!L34,'Item Scores'!P34,'Item Scores'!T34,'Item Scores'!V34,'Item Scores'!Z34,'Item Scores'!AD34,'Item Scores'!AO34,'Item Scores'!AV34)*10,0))</x:f>
        <x:v>7</x:v>
      </x:c>
      <x:c r="G37" s="36" t="n">
        <x:f>IF(COUNT('Item Scores'!F34,'Item Scores'!J34,'Item Scores'!R34,'Item Scores'!S34,'Item Scores'!AH34,'Item Scores'!AT34,'Item Scores'!AU34)&lt;5,"",ROUND(SUM('Item Scores'!F34,'Item Scores'!J34,'Item Scores'!R34,'Item Scores'!S34,'Item Scores'!AH34,'Item Scores'!AT34,'Item Scores'!AU34)/COUNT('Item Scores'!F34,'Item Scores'!J34,'Item Scores'!R34,'Item Scores'!S34,'Item Scores'!AH34,'Item Scores'!AT34,'Item Scores'!AU34)*7,0))</x:f>
        <x:v>2</x:v>
      </x:c>
      <x:c r="H37" s="36" t="n">
        <x:f>IF(COUNT('Item Scores'!B34,'Item Scores'!N34,'Item Scores'!W34,'Item Scores'!AB34,'Item Scores'!AJ34,'Item Scores'!AL34)&lt;4,"",ROUND(SUM('Item Scores'!B34,'Item Scores'!N34,'Item Scores'!W34,'Item Scores'!AB34,'Item Scores'!AJ34,'Item Scores'!AL34)/COUNT('Item Scores'!B34,'Item Scores'!N34,'Item Scores'!W34,'Item Scores'!AB34,'Item Scores'!AJ34,'Item Scores'!AL34)*6,0))</x:f>
        <x:v>2</x:v>
      </x:c>
      <x:c r="I37" s="36" t="n">
        <x:f>IF(COUNT('Item Scores'!K34,'Item Scores'!Q34,'Item Scores'!X34,'Item Scores'!AF34,'Item Scores'!AQ34,'Item Scores'!AS34)&lt;4,"",ROUND(SUM('Item Scores'!K34,'Item Scores'!Q34,'Item Scores'!X34,'Item Scores'!AF34,'Item Scores'!AQ34,'Item Scores'!AS34)/COUNT('Item Scores'!K34,'Item Scores'!Q34,'Item Scores'!X34,'Item Scores'!AF34,'Item Scores'!AQ34,'Item Scores'!AS34)*6,0))</x:f>
        <x:v>2</x:v>
      </x:c>
      <x:c r="J37" s="37" t="n">
        <x:f>IF(OR($Q37="",$C37=""),"",IFERROR(VLOOKUP($Q37&amp;"|"&amp;$C37&amp;"|SP|"&amp;D37,'Norm Tables'!$A$2:$F$589,6,FALSE),""))</x:f>
        <x:v>56</x:v>
      </x:c>
      <x:c r="K37" s="36" t="n">
        <x:f>IF(OR($Q37="",$C37=""),"",IFERROR(VLOOKUP($Q37&amp;"|"&amp;$C37&amp;"|PD|"&amp;E37,'Norm Tables'!$A$2:$F$589,6,FALSE),""))</x:f>
        <x:v>42</x:v>
      </x:c>
      <x:c r="L37" s="36" t="n">
        <x:f>IF(OR($Q37="",$C37=""),"",IFERROR(VLOOKUP($Q37&amp;"|"&amp;$C37&amp;"|MDD|"&amp;F37,'Norm Tables'!$A$2:$F$589,6,FALSE),""))</x:f>
        <x:v>51</x:v>
      </x:c>
      <x:c r="M37" s="36" t="n">
        <x:f>IF(OR($Q37="",$C37=""),"",IFERROR(VLOOKUP($Q37&amp;"|"&amp;$C37&amp;"|SAD|"&amp;G37,'Norm Tables'!$A$2:$F$589,6,FALSE),""))</x:f>
        <x:v>49</x:v>
      </x:c>
      <x:c r="N37" s="36" t="n">
        <x:f>IF(OR($Q37="",$C37=""),"",IFERROR(VLOOKUP($Q37&amp;"|"&amp;$C37&amp;"|GAD|"&amp;H37,'Norm Tables'!$A$2:$F$589,6,FALSE),""))</x:f>
        <x:v>37</x:v>
      </x:c>
      <x:c r="O37" s="36" t="n">
        <x:f>IF(OR($Q37="",$C37=""),"",IFERROR(VLOOKUP($Q37&amp;"|"&amp;$C37&amp;"|OCD|"&amp;I37,'Norm Tables'!$A$2:$F$589,6,FALSE),""))</x:f>
        <x:v>41</x:v>
      </x:c>
      <x:c r="P37" s="37" t="n">
        <x:f>IF(B37="","",B37-6)</x:f>
        <x:v>8</x:v>
      </x:c>
      <x:c r="Q37" s="36" t="str">
        <x:f>IF(P37="","",IF(OR(P37=7,P37=8),"7-8",IF(OR(P37=9,P37=10),"9-10","")))</x:f>
        <x:v>7-8</x:v>
      </x:c>
      <x:c r="R37" s="36" t="n">
        <x:f>COUNTBLANK('Item Scores'!B34:AV34)</x:f>
        <x:v>0</x:v>
      </x:c>
      <x:c r="S37" s="31" t="str">
        <x:f>IF(OR(B37="",C37=""),"Raw scores available; T-scores not calculated because age/sex is missing",IF(R37=0,"Complete",IF(R37&lt;=2,"Missing item(s); affected subscale score prorated","Review missing responses")))</x:f>
        <x:v>Complete</x:v>
      </x:c>
    </x:row>
    <x:row r="38">
      <x:c r="A38" s="22" t="str">
        <x:v>P34</x:v>
      </x:c>
      <x:c r="B38" s="35" t="n">
        <x:v>15</x:v>
      </x:c>
      <x:c r="C38" s="22" t="str">
        <x:v>Male</x:v>
      </x:c>
      <x:c r="D38" s="38" t="n">
        <x:f>IF(COUNT('Item Scores'!E35,'Item Scores'!H35,'Item Scores'!I35,'Item Scores'!M35,'Item Scores'!U35,'Item Scores'!AE35,'Item Scores'!AG35,'Item Scores'!AM35,'Item Scores'!AR35)&lt;7,"",ROUND(SUM('Item Scores'!E35,'Item Scores'!H35,'Item Scores'!I35,'Item Scores'!M35,'Item Scores'!U35,'Item Scores'!AE35,'Item Scores'!AG35,'Item Scores'!AM35,'Item Scores'!AR35)/COUNT('Item Scores'!E35,'Item Scores'!H35,'Item Scores'!I35,'Item Scores'!M35,'Item Scores'!U35,'Item Scores'!AE35,'Item Scores'!AG35,'Item Scores'!AM35,'Item Scores'!AR35)*9,0))</x:f>
        <x:v>9</x:v>
      </x:c>
      <x:c r="E38" s="38" t="n">
        <x:f>IF(COUNT('Item Scores'!D35,'Item Scores'!O35,'Item Scores'!Y35,'Item Scores'!AA35,'Item Scores'!AC35,'Item Scores'!AI35,'Item Scores'!AK35,'Item Scores'!AN35,'Item Scores'!AP35)&lt;7,"",ROUND(SUM('Item Scores'!D35,'Item Scores'!O35,'Item Scores'!Y35,'Item Scores'!AA35,'Item Scores'!AC35,'Item Scores'!AI35,'Item Scores'!AK35,'Item Scores'!AN35,'Item Scores'!AP35)/COUNT('Item Scores'!D35,'Item Scores'!O35,'Item Scores'!Y35,'Item Scores'!AA35,'Item Scores'!AC35,'Item Scores'!AI35,'Item Scores'!AK35,'Item Scores'!AN35,'Item Scores'!AP35)*9,0))</x:f>
        <x:v>5</x:v>
      </x:c>
      <x:c r="F38" s="38" t="n">
        <x:f>IF(COUNT('Item Scores'!C35,'Item Scores'!G35,'Item Scores'!L35,'Item Scores'!P35,'Item Scores'!T35,'Item Scores'!V35,'Item Scores'!Z35,'Item Scores'!AD35,'Item Scores'!AO35,'Item Scores'!AV35)&lt;8,"",ROUND(SUM('Item Scores'!C35,'Item Scores'!G35,'Item Scores'!L35,'Item Scores'!P35,'Item Scores'!T35,'Item Scores'!V35,'Item Scores'!Z35,'Item Scores'!AD35,'Item Scores'!AO35,'Item Scores'!AV35)/COUNT('Item Scores'!C35,'Item Scores'!G35,'Item Scores'!L35,'Item Scores'!P35,'Item Scores'!T35,'Item Scores'!V35,'Item Scores'!Z35,'Item Scores'!AD35,'Item Scores'!AO35,'Item Scores'!AV35)*10,0))</x:f>
        <x:v>8</x:v>
      </x:c>
      <x:c r="G38" s="38" t="n">
        <x:f>IF(COUNT('Item Scores'!F35,'Item Scores'!J35,'Item Scores'!R35,'Item Scores'!S35,'Item Scores'!AH35,'Item Scores'!AT35,'Item Scores'!AU35)&lt;5,"",ROUND(SUM('Item Scores'!F35,'Item Scores'!J35,'Item Scores'!R35,'Item Scores'!S35,'Item Scores'!AH35,'Item Scores'!AT35,'Item Scores'!AU35)/COUNT('Item Scores'!F35,'Item Scores'!J35,'Item Scores'!R35,'Item Scores'!S35,'Item Scores'!AH35,'Item Scores'!AT35,'Item Scores'!AU35)*7,0))</x:f>
        <x:v>0</x:v>
      </x:c>
      <x:c r="H38" s="38" t="n">
        <x:f>IF(COUNT('Item Scores'!B35,'Item Scores'!N35,'Item Scores'!W35,'Item Scores'!AB35,'Item Scores'!AJ35,'Item Scores'!AL35)&lt;4,"",ROUND(SUM('Item Scores'!B35,'Item Scores'!N35,'Item Scores'!W35,'Item Scores'!AB35,'Item Scores'!AJ35,'Item Scores'!AL35)/COUNT('Item Scores'!B35,'Item Scores'!N35,'Item Scores'!W35,'Item Scores'!AB35,'Item Scores'!AJ35,'Item Scores'!AL35)*6,0))</x:f>
        <x:v>5</x:v>
      </x:c>
      <x:c r="I38" s="38" t="n">
        <x:f>IF(COUNT('Item Scores'!K35,'Item Scores'!Q35,'Item Scores'!X35,'Item Scores'!AF35,'Item Scores'!AQ35,'Item Scores'!AS35)&lt;4,"",ROUND(SUM('Item Scores'!K35,'Item Scores'!Q35,'Item Scores'!X35,'Item Scores'!AF35,'Item Scores'!AQ35,'Item Scores'!AS35)/COUNT('Item Scores'!K35,'Item Scores'!Q35,'Item Scores'!X35,'Item Scores'!AF35,'Item Scores'!AQ35,'Item Scores'!AS35)*6,0))</x:f>
        <x:v>3</x:v>
      </x:c>
      <x:c r="J38" s="39" t="n">
        <x:f>IF(OR($Q38="",$C38=""),"",IFERROR(VLOOKUP($Q38&amp;"|"&amp;$C38&amp;"|SP|"&amp;D38,'Norm Tables'!$A$2:$F$589,6,FALSE),""))</x:f>
        <x:v>44</x:v>
      </x:c>
      <x:c r="K38" s="38" t="n">
        <x:f>IF(OR($Q38="",$C38=""),"",IFERROR(VLOOKUP($Q38&amp;"|"&amp;$C38&amp;"|PD|"&amp;E38,'Norm Tables'!$A$2:$F$589,6,FALSE),""))</x:f>
        <x:v>54</x:v>
      </x:c>
      <x:c r="L38" s="38" t="n">
        <x:f>IF(OR($Q38="",$C38=""),"",IFERROR(VLOOKUP($Q38&amp;"|"&amp;$C38&amp;"|MDD|"&amp;F38,'Norm Tables'!$A$2:$F$589,6,FALSE),""))</x:f>
        <x:v>51</x:v>
      </x:c>
      <x:c r="M38" s="38" t="n">
        <x:f>IF(OR($Q38="",$C38=""),"",IFERROR(VLOOKUP($Q38&amp;"|"&amp;$C38&amp;"|SAD|"&amp;G38,'Norm Tables'!$A$2:$F$589,6,FALSE),""))</x:f>
        <x:v>40</x:v>
      </x:c>
      <x:c r="N38" s="38" t="n">
        <x:f>IF(OR($Q38="",$C38=""),"",IFERROR(VLOOKUP($Q38&amp;"|"&amp;$C38&amp;"|GAD|"&amp;H38,'Norm Tables'!$A$2:$F$589,6,FALSE),""))</x:f>
        <x:v>43</x:v>
      </x:c>
      <x:c r="O38" s="38" t="n">
        <x:f>IF(OR($Q38="",$C38=""),"",IFERROR(VLOOKUP($Q38&amp;"|"&amp;$C38&amp;"|OCD|"&amp;I38,'Norm Tables'!$A$2:$F$589,6,FALSE),""))</x:f>
        <x:v>44</x:v>
      </x:c>
      <x:c r="P38" s="39" t="n">
        <x:f>IF(B38="","",B38-6)</x:f>
        <x:v>9</x:v>
      </x:c>
      <x:c r="Q38" s="38" t="str">
        <x:f>IF(P38="","",IF(OR(P38=7,P38=8),"7-8",IF(OR(P38=9,P38=10),"9-10","")))</x:f>
        <x:v>9-10</x:v>
      </x:c>
      <x:c r="R38" s="38" t="n">
        <x:f>COUNTBLANK('Item Scores'!B35:AV35)</x:f>
        <x:v>0</x:v>
      </x:c>
      <x:c r="S38" s="32" t="str">
        <x:f>IF(OR(B38="",C38=""),"Raw scores available; T-scores not calculated because age/sex is missing",IF(R38=0,"Complete",IF(R38&lt;=2,"Missing item(s); affected subscale score prorated","Review missing responses")))</x:f>
        <x:v>Complete</x:v>
      </x:c>
    </x:row>
    <x:row r="39">
      <x:c r="A39" s="21" t="str">
        <x:v>P35</x:v>
      </x:c>
      <x:c r="B39" s="34" t="n">
        <x:v>15</x:v>
      </x:c>
      <x:c r="C39" s="21" t="str">
        <x:v>Female</x:v>
      </x:c>
      <x:c r="D39" s="36" t="n">
        <x:f>IF(COUNT('Item Scores'!E36,'Item Scores'!H36,'Item Scores'!I36,'Item Scores'!M36,'Item Scores'!U36,'Item Scores'!AE36,'Item Scores'!AG36,'Item Scores'!AM36,'Item Scores'!AR36)&lt;7,"",ROUND(SUM('Item Scores'!E36,'Item Scores'!H36,'Item Scores'!I36,'Item Scores'!M36,'Item Scores'!U36,'Item Scores'!AE36,'Item Scores'!AG36,'Item Scores'!AM36,'Item Scores'!AR36)/COUNT('Item Scores'!E36,'Item Scores'!H36,'Item Scores'!I36,'Item Scores'!M36,'Item Scores'!U36,'Item Scores'!AE36,'Item Scores'!AG36,'Item Scores'!AM36,'Item Scores'!AR36)*9,0))</x:f>
        <x:v>8</x:v>
      </x:c>
      <x:c r="E39" s="36" t="n">
        <x:f>IF(COUNT('Item Scores'!D36,'Item Scores'!O36,'Item Scores'!Y36,'Item Scores'!AA36,'Item Scores'!AC36,'Item Scores'!AI36,'Item Scores'!AK36,'Item Scores'!AN36,'Item Scores'!AP36)&lt;7,"",ROUND(SUM('Item Scores'!D36,'Item Scores'!O36,'Item Scores'!Y36,'Item Scores'!AA36,'Item Scores'!AC36,'Item Scores'!AI36,'Item Scores'!AK36,'Item Scores'!AN36,'Item Scores'!AP36)/COUNT('Item Scores'!D36,'Item Scores'!O36,'Item Scores'!Y36,'Item Scores'!AA36,'Item Scores'!AC36,'Item Scores'!AI36,'Item Scores'!AK36,'Item Scores'!AN36,'Item Scores'!AP36)*9,0))</x:f>
        <x:v>11</x:v>
      </x:c>
      <x:c r="F39" s="36" t="n">
        <x:f>IF(COUNT('Item Scores'!C36,'Item Scores'!G36,'Item Scores'!L36,'Item Scores'!P36,'Item Scores'!T36,'Item Scores'!V36,'Item Scores'!Z36,'Item Scores'!AD36,'Item Scores'!AO36,'Item Scores'!AV36)&lt;8,"",ROUND(SUM('Item Scores'!C36,'Item Scores'!G36,'Item Scores'!L36,'Item Scores'!P36,'Item Scores'!T36,'Item Scores'!V36,'Item Scores'!Z36,'Item Scores'!AD36,'Item Scores'!AO36,'Item Scores'!AV36)/COUNT('Item Scores'!C36,'Item Scores'!G36,'Item Scores'!L36,'Item Scores'!P36,'Item Scores'!T36,'Item Scores'!V36,'Item Scores'!Z36,'Item Scores'!AD36,'Item Scores'!AO36,'Item Scores'!AV36)*10,0))</x:f>
        <x:v>9</x:v>
      </x:c>
      <x:c r="G39" s="36" t="n">
        <x:f>IF(COUNT('Item Scores'!F36,'Item Scores'!J36,'Item Scores'!R36,'Item Scores'!S36,'Item Scores'!AH36,'Item Scores'!AT36,'Item Scores'!AU36)&lt;5,"",ROUND(SUM('Item Scores'!F36,'Item Scores'!J36,'Item Scores'!R36,'Item Scores'!S36,'Item Scores'!AH36,'Item Scores'!AT36,'Item Scores'!AU36)/COUNT('Item Scores'!F36,'Item Scores'!J36,'Item Scores'!R36,'Item Scores'!S36,'Item Scores'!AH36,'Item Scores'!AT36,'Item Scores'!AU36)*7,0))</x:f>
        <x:v>2</x:v>
      </x:c>
      <x:c r="H39" s="36" t="n">
        <x:f>IF(COUNT('Item Scores'!B36,'Item Scores'!N36,'Item Scores'!W36,'Item Scores'!AB36,'Item Scores'!AJ36,'Item Scores'!AL36)&lt;4,"",ROUND(SUM('Item Scores'!B36,'Item Scores'!N36,'Item Scores'!W36,'Item Scores'!AB36,'Item Scores'!AJ36,'Item Scores'!AL36)/COUNT('Item Scores'!B36,'Item Scores'!N36,'Item Scores'!W36,'Item Scores'!AB36,'Item Scores'!AJ36,'Item Scores'!AL36)*6,0))</x:f>
        <x:v>5</x:v>
      </x:c>
      <x:c r="I39" s="36" t="n">
        <x:f>IF(COUNT('Item Scores'!K36,'Item Scores'!Q36,'Item Scores'!X36,'Item Scores'!AF36,'Item Scores'!AQ36,'Item Scores'!AS36)&lt;4,"",ROUND(SUM('Item Scores'!K36,'Item Scores'!Q36,'Item Scores'!X36,'Item Scores'!AF36,'Item Scores'!AQ36,'Item Scores'!AS36)/COUNT('Item Scores'!K36,'Item Scores'!Q36,'Item Scores'!X36,'Item Scores'!AF36,'Item Scores'!AQ36,'Item Scores'!AS36)*6,0))</x:f>
        <x:v>1</x:v>
      </x:c>
      <x:c r="J39" s="37" t="n">
        <x:f>IF(OR($Q39="",$C39=""),"",IFERROR(VLOOKUP($Q39&amp;"|"&amp;$C39&amp;"|SP|"&amp;D39,'Norm Tables'!$A$2:$F$589,6,FALSE),""))</x:f>
        <x:v>41</x:v>
      </x:c>
      <x:c r="K39" s="36" t="n">
        <x:f>IF(OR($Q39="",$C39=""),"",IFERROR(VLOOKUP($Q39&amp;"|"&amp;$C39&amp;"|PD|"&amp;E39,'Norm Tables'!$A$2:$F$589,6,FALSE),""))</x:f>
        <x:v>72</x:v>
      </x:c>
      <x:c r="L39" s="36" t="n">
        <x:f>IF(OR($Q39="",$C39=""),"",IFERROR(VLOOKUP($Q39&amp;"|"&amp;$C39&amp;"|MDD|"&amp;F39,'Norm Tables'!$A$2:$F$589,6,FALSE),""))</x:f>
        <x:v>54</x:v>
      </x:c>
      <x:c r="M39" s="36" t="n">
        <x:f>IF(OR($Q39="",$C39=""),"",IFERROR(VLOOKUP($Q39&amp;"|"&amp;$C39&amp;"|SAD|"&amp;G39,'Norm Tables'!$A$2:$F$589,6,FALSE),""))</x:f>
        <x:v>48</x:v>
      </x:c>
      <x:c r="N39" s="36" t="n">
        <x:f>IF(OR($Q39="",$C39=""),"",IFERROR(VLOOKUP($Q39&amp;"|"&amp;$C39&amp;"|GAD|"&amp;H39,'Norm Tables'!$A$2:$F$589,6,FALSE),""))</x:f>
        <x:v>43</x:v>
      </x:c>
      <x:c r="O39" s="36" t="n">
        <x:f>IF(OR($Q39="",$C39=""),"",IFERROR(VLOOKUP($Q39&amp;"|"&amp;$C39&amp;"|OCD|"&amp;I39,'Norm Tables'!$A$2:$F$589,6,FALSE),""))</x:f>
        <x:v>39</x:v>
      </x:c>
      <x:c r="P39" s="37" t="n">
        <x:f>IF(B39="","",B39-6)</x:f>
        <x:v>9</x:v>
      </x:c>
      <x:c r="Q39" s="36" t="str">
        <x:f>IF(P39="","",IF(OR(P39=7,P39=8),"7-8",IF(OR(P39=9,P39=10),"9-10","")))</x:f>
        <x:v>9-10</x:v>
      </x:c>
      <x:c r="R39" s="36" t="n">
        <x:f>COUNTBLANK('Item Scores'!B36:AV36)</x:f>
        <x:v>0</x:v>
      </x:c>
      <x:c r="S39" s="31" t="str">
        <x:f>IF(OR(B39="",C39=""),"Raw scores available; T-scores not calculated because age/sex is missing",IF(R39=0,"Complete",IF(R39&lt;=2,"Missing item(s); affected subscale score prorated","Review missing responses")))</x:f>
        <x:v>Complete</x:v>
      </x:c>
    </x:row>
    <x:row r="40">
      <x:c r="A40" s="22" t="str">
        <x:v>P36</x:v>
      </x:c>
      <x:c r="B40" s="35" t="n">
        <x:v>13</x:v>
      </x:c>
      <x:c r="C40" s="22" t="str">
        <x:v>Female</x:v>
      </x:c>
      <x:c r="D40" s="38" t="n">
        <x:f>IF(COUNT('Item Scores'!E37,'Item Scores'!H37,'Item Scores'!I37,'Item Scores'!M37,'Item Scores'!U37,'Item Scores'!AE37,'Item Scores'!AG37,'Item Scores'!AM37,'Item Scores'!AR37)&lt;7,"",ROUND(SUM('Item Scores'!E37,'Item Scores'!H37,'Item Scores'!I37,'Item Scores'!M37,'Item Scores'!U37,'Item Scores'!AE37,'Item Scores'!AG37,'Item Scores'!AM37,'Item Scores'!AR37)/COUNT('Item Scores'!E37,'Item Scores'!H37,'Item Scores'!I37,'Item Scores'!M37,'Item Scores'!U37,'Item Scores'!AE37,'Item Scores'!AG37,'Item Scores'!AM37,'Item Scores'!AR37)*9,0))</x:f>
        <x:v>21</x:v>
      </x:c>
      <x:c r="E40" s="38" t="n">
        <x:f>IF(COUNT('Item Scores'!D37,'Item Scores'!O37,'Item Scores'!Y37,'Item Scores'!AA37,'Item Scores'!AC37,'Item Scores'!AI37,'Item Scores'!AK37,'Item Scores'!AN37,'Item Scores'!AP37)&lt;7,"",ROUND(SUM('Item Scores'!D37,'Item Scores'!O37,'Item Scores'!Y37,'Item Scores'!AA37,'Item Scores'!AC37,'Item Scores'!AI37,'Item Scores'!AK37,'Item Scores'!AN37,'Item Scores'!AP37)/COUNT('Item Scores'!D37,'Item Scores'!O37,'Item Scores'!Y37,'Item Scores'!AA37,'Item Scores'!AC37,'Item Scores'!AI37,'Item Scores'!AK37,'Item Scores'!AN37,'Item Scores'!AP37)*9,0))</x:f>
        <x:v>17</x:v>
      </x:c>
      <x:c r="F40" s="38" t="n">
        <x:f>IF(COUNT('Item Scores'!C37,'Item Scores'!G37,'Item Scores'!L37,'Item Scores'!P37,'Item Scores'!T37,'Item Scores'!V37,'Item Scores'!Z37,'Item Scores'!AD37,'Item Scores'!AO37,'Item Scores'!AV37)&lt;8,"",ROUND(SUM('Item Scores'!C37,'Item Scores'!G37,'Item Scores'!L37,'Item Scores'!P37,'Item Scores'!T37,'Item Scores'!V37,'Item Scores'!Z37,'Item Scores'!AD37,'Item Scores'!AO37,'Item Scores'!AV37)/COUNT('Item Scores'!C37,'Item Scores'!G37,'Item Scores'!L37,'Item Scores'!P37,'Item Scores'!T37,'Item Scores'!V37,'Item Scores'!Z37,'Item Scores'!AD37,'Item Scores'!AO37,'Item Scores'!AV37)*10,0))</x:f>
        <x:v>20</x:v>
      </x:c>
      <x:c r="G40" s="38" t="n">
        <x:f>IF(COUNT('Item Scores'!F37,'Item Scores'!J37,'Item Scores'!R37,'Item Scores'!S37,'Item Scores'!AH37,'Item Scores'!AT37,'Item Scores'!AU37)&lt;5,"",ROUND(SUM('Item Scores'!F37,'Item Scores'!J37,'Item Scores'!R37,'Item Scores'!S37,'Item Scores'!AH37,'Item Scores'!AT37,'Item Scores'!AU37)/COUNT('Item Scores'!F37,'Item Scores'!J37,'Item Scores'!R37,'Item Scores'!S37,'Item Scores'!AH37,'Item Scores'!AT37,'Item Scores'!AU37)*7,0))</x:f>
        <x:v>9</x:v>
      </x:c>
      <x:c r="H40" s="38" t="n">
        <x:f>IF(COUNT('Item Scores'!B37,'Item Scores'!N37,'Item Scores'!W37,'Item Scores'!AB37,'Item Scores'!AJ37,'Item Scores'!AL37)&lt;4,"",ROUND(SUM('Item Scores'!B37,'Item Scores'!N37,'Item Scores'!W37,'Item Scores'!AB37,'Item Scores'!AJ37,'Item Scores'!AL37)/COUNT('Item Scores'!B37,'Item Scores'!N37,'Item Scores'!W37,'Item Scores'!AB37,'Item Scores'!AJ37,'Item Scores'!AL37)*6,0))</x:f>
        <x:v>12</x:v>
      </x:c>
      <x:c r="I40" s="38" t="n">
        <x:f>IF(COUNT('Item Scores'!K37,'Item Scores'!Q37,'Item Scores'!X37,'Item Scores'!AF37,'Item Scores'!AQ37,'Item Scores'!AS37)&lt;4,"",ROUND(SUM('Item Scores'!K37,'Item Scores'!Q37,'Item Scores'!X37,'Item Scores'!AF37,'Item Scores'!AQ37,'Item Scores'!AS37)/COUNT('Item Scores'!K37,'Item Scores'!Q37,'Item Scores'!X37,'Item Scores'!AF37,'Item Scores'!AQ37,'Item Scores'!AS37)*6,0))</x:f>
        <x:v>5</x:v>
      </x:c>
      <x:c r="J40" s="39" t="n">
        <x:f>IF(OR($Q40="",$C40=""),"",IFERROR(VLOOKUP($Q40&amp;"|"&amp;$C40&amp;"|SP|"&amp;D40,'Norm Tables'!$A$2:$F$589,6,FALSE),""))</x:f>
        <x:v>66</x:v>
      </x:c>
      <x:c r="K40" s="38" t="n">
        <x:f>IF(OR($Q40="",$C40=""),"",IFERROR(VLOOKUP($Q40&amp;"|"&amp;$C40&amp;"|PD|"&amp;E40,'Norm Tables'!$A$2:$F$589,6,FALSE),""))</x:f>
        <x:v>81</x:v>
      </x:c>
      <x:c r="L40" s="38" t="n">
        <x:f>IF(OR($Q40="",$C40=""),"",IFERROR(VLOOKUP($Q40&amp;"|"&amp;$C40&amp;"|MDD|"&amp;F40,'Norm Tables'!$A$2:$F$589,6,FALSE),""))</x:f>
        <x:v>81</x:v>
      </x:c>
      <x:c r="M40" s="38" t="n">
        <x:f>IF(OR($Q40="",$C40=""),"",IFERROR(VLOOKUP($Q40&amp;"|"&amp;$C40&amp;"|SAD|"&amp;G40,'Norm Tables'!$A$2:$F$589,6,FALSE),""))</x:f>
        <x:v>72</x:v>
      </x:c>
      <x:c r="N40" s="38" t="n">
        <x:f>IF(OR($Q40="",$C40=""),"",IFERROR(VLOOKUP($Q40&amp;"|"&amp;$C40&amp;"|GAD|"&amp;H40,'Norm Tables'!$A$2:$F$589,6,FALSE),""))</x:f>
        <x:v>64</x:v>
      </x:c>
      <x:c r="O40" s="38" t="n">
        <x:f>IF(OR($Q40="",$C40=""),"",IFERROR(VLOOKUP($Q40&amp;"|"&amp;$C40&amp;"|OCD|"&amp;I40,'Norm Tables'!$A$2:$F$589,6,FALSE),""))</x:f>
        <x:v>50</x:v>
      </x:c>
      <x:c r="P40" s="39" t="n">
        <x:f>IF(B40="","",B40-6)</x:f>
        <x:v>7</x:v>
      </x:c>
      <x:c r="Q40" s="38" t="str">
        <x:f>IF(P40="","",IF(OR(P40=7,P40=8),"7-8",IF(OR(P40=9,P40=10),"9-10","")))</x:f>
        <x:v>7-8</x:v>
      </x:c>
      <x:c r="R40" s="38" t="n">
        <x:f>COUNTBLANK('Item Scores'!B37:AV37)</x:f>
        <x:v>0</x:v>
      </x:c>
      <x:c r="S40" s="32" t="str">
        <x:f>IF(OR(B40="",C40=""),"Raw scores available; T-scores not calculated because age/sex is missing",IF(R40=0,"Complete",IF(R40&lt;=2,"Missing item(s); affected subscale score prorated","Review missing responses")))</x:f>
        <x:v>Complete</x:v>
      </x:c>
    </x:row>
    <x:row r="41">
      <x:c r="A41" s="21" t="str">
        <x:v>P37</x:v>
      </x:c>
      <x:c r="B41" s="34" t="n">
        <x:v>13</x:v>
      </x:c>
      <x:c r="C41" s="21" t="str">
        <x:v>Male</x:v>
      </x:c>
      <x:c r="D41" s="36" t="n">
        <x:f>IF(COUNT('Item Scores'!E38,'Item Scores'!H38,'Item Scores'!I38,'Item Scores'!M38,'Item Scores'!U38,'Item Scores'!AE38,'Item Scores'!AG38,'Item Scores'!AM38,'Item Scores'!AR38)&lt;7,"",ROUND(SUM('Item Scores'!E38,'Item Scores'!H38,'Item Scores'!I38,'Item Scores'!M38,'Item Scores'!U38,'Item Scores'!AE38,'Item Scores'!AG38,'Item Scores'!AM38,'Item Scores'!AR38)/COUNT('Item Scores'!E38,'Item Scores'!H38,'Item Scores'!I38,'Item Scores'!M38,'Item Scores'!U38,'Item Scores'!AE38,'Item Scores'!AG38,'Item Scores'!AM38,'Item Scores'!AR38)*9,0))</x:f>
        <x:v>12</x:v>
      </x:c>
      <x:c r="E41" s="36" t="n">
        <x:f>IF(COUNT('Item Scores'!D38,'Item Scores'!O38,'Item Scores'!Y38,'Item Scores'!AA38,'Item Scores'!AC38,'Item Scores'!AI38,'Item Scores'!AK38,'Item Scores'!AN38,'Item Scores'!AP38)&lt;7,"",ROUND(SUM('Item Scores'!D38,'Item Scores'!O38,'Item Scores'!Y38,'Item Scores'!AA38,'Item Scores'!AC38,'Item Scores'!AI38,'Item Scores'!AK38,'Item Scores'!AN38,'Item Scores'!AP38)/COUNT('Item Scores'!D38,'Item Scores'!O38,'Item Scores'!Y38,'Item Scores'!AA38,'Item Scores'!AC38,'Item Scores'!AI38,'Item Scores'!AK38,'Item Scores'!AN38,'Item Scores'!AP38)*9,0))</x:f>
        <x:v>6</x:v>
      </x:c>
      <x:c r="F41" s="36" t="n">
        <x:f>IF(COUNT('Item Scores'!C38,'Item Scores'!G38,'Item Scores'!L38,'Item Scores'!P38,'Item Scores'!T38,'Item Scores'!V38,'Item Scores'!Z38,'Item Scores'!AD38,'Item Scores'!AO38,'Item Scores'!AV38)&lt;8,"",ROUND(SUM('Item Scores'!C38,'Item Scores'!G38,'Item Scores'!L38,'Item Scores'!P38,'Item Scores'!T38,'Item Scores'!V38,'Item Scores'!Z38,'Item Scores'!AD38,'Item Scores'!AO38,'Item Scores'!AV38)/COUNT('Item Scores'!C38,'Item Scores'!G38,'Item Scores'!L38,'Item Scores'!P38,'Item Scores'!T38,'Item Scores'!V38,'Item Scores'!Z38,'Item Scores'!AD38,'Item Scores'!AO38,'Item Scores'!AV38)*10,0))</x:f>
        <x:v>9</x:v>
      </x:c>
      <x:c r="G41" s="36" t="n">
        <x:f>IF(COUNT('Item Scores'!F38,'Item Scores'!J38,'Item Scores'!R38,'Item Scores'!S38,'Item Scores'!AH38,'Item Scores'!AT38,'Item Scores'!AU38)&lt;5,"",ROUND(SUM('Item Scores'!F38,'Item Scores'!J38,'Item Scores'!R38,'Item Scores'!S38,'Item Scores'!AH38,'Item Scores'!AT38,'Item Scores'!AU38)/COUNT('Item Scores'!F38,'Item Scores'!J38,'Item Scores'!R38,'Item Scores'!S38,'Item Scores'!AH38,'Item Scores'!AT38,'Item Scores'!AU38)*7,0))</x:f>
        <x:v>1</x:v>
      </x:c>
      <x:c r="H41" s="36" t="n">
        <x:f>IF(COUNT('Item Scores'!B38,'Item Scores'!N38,'Item Scores'!W38,'Item Scores'!AB38,'Item Scores'!AJ38,'Item Scores'!AL38)&lt;4,"",ROUND(SUM('Item Scores'!B38,'Item Scores'!N38,'Item Scores'!W38,'Item Scores'!AB38,'Item Scores'!AJ38,'Item Scores'!AL38)/COUNT('Item Scores'!B38,'Item Scores'!N38,'Item Scores'!W38,'Item Scores'!AB38,'Item Scores'!AJ38,'Item Scores'!AL38)*6,0))</x:f>
        <x:v>6</x:v>
      </x:c>
      <x:c r="I41" s="36" t="n">
        <x:f>IF(COUNT('Item Scores'!K38,'Item Scores'!Q38,'Item Scores'!X38,'Item Scores'!AF38,'Item Scores'!AQ38,'Item Scores'!AS38)&lt;4,"",ROUND(SUM('Item Scores'!K38,'Item Scores'!Q38,'Item Scores'!X38,'Item Scores'!AF38,'Item Scores'!AQ38,'Item Scores'!AS38)/COUNT('Item Scores'!K38,'Item Scores'!Q38,'Item Scores'!X38,'Item Scores'!AF38,'Item Scores'!AQ38,'Item Scores'!AS38)*6,0))</x:f>
        <x:v>2</x:v>
      </x:c>
      <x:c r="J41" s="37" t="n">
        <x:f>IF(OR($Q41="",$C41=""),"",IFERROR(VLOOKUP($Q41&amp;"|"&amp;$C41&amp;"|SP|"&amp;D41,'Norm Tables'!$A$2:$F$589,6,FALSE),""))</x:f>
        <x:v>52</x:v>
      </x:c>
      <x:c r="K41" s="36" t="n">
        <x:f>IF(OR($Q41="",$C41=""),"",IFERROR(VLOOKUP($Q41&amp;"|"&amp;$C41&amp;"|PD|"&amp;E41,'Norm Tables'!$A$2:$F$589,6,FALSE),""))</x:f>
        <x:v>57</x:v>
      </x:c>
      <x:c r="L41" s="36" t="n">
        <x:f>IF(OR($Q41="",$C41=""),"",IFERROR(VLOOKUP($Q41&amp;"|"&amp;$C41&amp;"|MDD|"&amp;F41,'Norm Tables'!$A$2:$F$589,6,FALSE),""))</x:f>
        <x:v>56</x:v>
      </x:c>
      <x:c r="M41" s="36" t="n">
        <x:f>IF(OR($Q41="",$C41=""),"",IFERROR(VLOOKUP($Q41&amp;"|"&amp;$C41&amp;"|SAD|"&amp;G41,'Norm Tables'!$A$2:$F$589,6,FALSE),""))</x:f>
        <x:v>45</x:v>
      </x:c>
      <x:c r="N41" s="36" t="n">
        <x:f>IF(OR($Q41="",$C41=""),"",IFERROR(VLOOKUP($Q41&amp;"|"&amp;$C41&amp;"|GAD|"&amp;H41,'Norm Tables'!$A$2:$F$589,6,FALSE),""))</x:f>
        <x:v>49</x:v>
      </x:c>
      <x:c r="O41" s="36" t="n">
        <x:f>IF(OR($Q41="",$C41=""),"",IFERROR(VLOOKUP($Q41&amp;"|"&amp;$C41&amp;"|OCD|"&amp;I41,'Norm Tables'!$A$2:$F$589,6,FALSE),""))</x:f>
        <x:v>41</x:v>
      </x:c>
      <x:c r="P41" s="37" t="n">
        <x:f>IF(B41="","",B41-6)</x:f>
        <x:v>7</x:v>
      </x:c>
      <x:c r="Q41" s="36" t="str">
        <x:f>IF(P41="","",IF(OR(P41=7,P41=8),"7-8",IF(OR(P41=9,P41=10),"9-10","")))</x:f>
        <x:v>7-8</x:v>
      </x:c>
      <x:c r="R41" s="36" t="n">
        <x:f>COUNTBLANK('Item Scores'!B38:AV38)</x:f>
        <x:v>0</x:v>
      </x:c>
      <x:c r="S41" s="31" t="str">
        <x:f>IF(OR(B41="",C41=""),"Raw scores available; T-scores not calculated because age/sex is missing",IF(R41=0,"Complete",IF(R41&lt;=2,"Missing item(s); affected subscale score prorated","Review missing responses")))</x:f>
        <x:v>Complete</x:v>
      </x:c>
    </x:row>
    <x:row r="42">
      <x:c r="A42" s="22" t="str">
        <x:v>P38</x:v>
      </x:c>
      <x:c r="B42" s="35"/>
      <x:c r="C42" s="22"/>
      <x:c r="D42" s="38" t="n">
        <x:f>IF(COUNT('Item Scores'!E39,'Item Scores'!H39,'Item Scores'!I39,'Item Scores'!M39,'Item Scores'!U39,'Item Scores'!AE39,'Item Scores'!AG39,'Item Scores'!AM39,'Item Scores'!AR39)&lt;7,"",ROUND(SUM('Item Scores'!E39,'Item Scores'!H39,'Item Scores'!I39,'Item Scores'!M39,'Item Scores'!U39,'Item Scores'!AE39,'Item Scores'!AG39,'Item Scores'!AM39,'Item Scores'!AR39)/COUNT('Item Scores'!E39,'Item Scores'!H39,'Item Scores'!I39,'Item Scores'!M39,'Item Scores'!U39,'Item Scores'!AE39,'Item Scores'!AG39,'Item Scores'!AM39,'Item Scores'!AR39)*9,0))</x:f>
        <x:v>4</x:v>
      </x:c>
      <x:c r="E42" s="38" t="n">
        <x:f>IF(COUNT('Item Scores'!D39,'Item Scores'!O39,'Item Scores'!Y39,'Item Scores'!AA39,'Item Scores'!AC39,'Item Scores'!AI39,'Item Scores'!AK39,'Item Scores'!AN39,'Item Scores'!AP39)&lt;7,"",ROUND(SUM('Item Scores'!D39,'Item Scores'!O39,'Item Scores'!Y39,'Item Scores'!AA39,'Item Scores'!AC39,'Item Scores'!AI39,'Item Scores'!AK39,'Item Scores'!AN39,'Item Scores'!AP39)/COUNT('Item Scores'!D39,'Item Scores'!O39,'Item Scores'!Y39,'Item Scores'!AA39,'Item Scores'!AC39,'Item Scores'!AI39,'Item Scores'!AK39,'Item Scores'!AN39,'Item Scores'!AP39)*9,0))</x:f>
        <x:v>1</x:v>
      </x:c>
      <x:c r="F42" s="38" t="n">
        <x:f>IF(COUNT('Item Scores'!C39,'Item Scores'!G39,'Item Scores'!L39,'Item Scores'!P39,'Item Scores'!T39,'Item Scores'!V39,'Item Scores'!Z39,'Item Scores'!AD39,'Item Scores'!AO39,'Item Scores'!AV39)&lt;8,"",ROUND(SUM('Item Scores'!C39,'Item Scores'!G39,'Item Scores'!L39,'Item Scores'!P39,'Item Scores'!T39,'Item Scores'!V39,'Item Scores'!Z39,'Item Scores'!AD39,'Item Scores'!AO39,'Item Scores'!AV39)/COUNT('Item Scores'!C39,'Item Scores'!G39,'Item Scores'!L39,'Item Scores'!P39,'Item Scores'!T39,'Item Scores'!V39,'Item Scores'!Z39,'Item Scores'!AD39,'Item Scores'!AO39,'Item Scores'!AV39)*10,0))</x:f>
        <x:v>7</x:v>
      </x:c>
      <x:c r="G42" s="38" t="n">
        <x:f>IF(COUNT('Item Scores'!F39,'Item Scores'!J39,'Item Scores'!R39,'Item Scores'!S39,'Item Scores'!AH39,'Item Scores'!AT39,'Item Scores'!AU39)&lt;5,"",ROUND(SUM('Item Scores'!F39,'Item Scores'!J39,'Item Scores'!R39,'Item Scores'!S39,'Item Scores'!AH39,'Item Scores'!AT39,'Item Scores'!AU39)/COUNT('Item Scores'!F39,'Item Scores'!J39,'Item Scores'!R39,'Item Scores'!S39,'Item Scores'!AH39,'Item Scores'!AT39,'Item Scores'!AU39)*7,0))</x:f>
        <x:v>0</x:v>
      </x:c>
      <x:c r="H42" s="38" t="n">
        <x:f>IF(COUNT('Item Scores'!B39,'Item Scores'!N39,'Item Scores'!W39,'Item Scores'!AB39,'Item Scores'!AJ39,'Item Scores'!AL39)&lt;4,"",ROUND(SUM('Item Scores'!B39,'Item Scores'!N39,'Item Scores'!W39,'Item Scores'!AB39,'Item Scores'!AJ39,'Item Scores'!AL39)/COUNT('Item Scores'!B39,'Item Scores'!N39,'Item Scores'!W39,'Item Scores'!AB39,'Item Scores'!AJ39,'Item Scores'!AL39)*6,0))</x:f>
        <x:v>2</x:v>
      </x:c>
      <x:c r="I42" s="38" t="n">
        <x:f>IF(COUNT('Item Scores'!K39,'Item Scores'!Q39,'Item Scores'!X39,'Item Scores'!AF39,'Item Scores'!AQ39,'Item Scores'!AS39)&lt;4,"",ROUND(SUM('Item Scores'!K39,'Item Scores'!Q39,'Item Scores'!X39,'Item Scores'!AF39,'Item Scores'!AQ39,'Item Scores'!AS39)/COUNT('Item Scores'!K39,'Item Scores'!Q39,'Item Scores'!X39,'Item Scores'!AF39,'Item Scores'!AQ39,'Item Scores'!AS39)*6,0))</x:f>
        <x:v>0</x:v>
      </x:c>
      <x:c r="J42" s="39" t="str">
        <x:f>IF(OR($Q42="",$C42=""),"",IFERROR(VLOOKUP($Q42&amp;"|"&amp;$C42&amp;"|SP|"&amp;D42,'Norm Tables'!$A$2:$F$589,6,FALSE),""))</x:f>
      </x:c>
      <x:c r="K42" s="38" t="str">
        <x:f>IF(OR($Q42="",$C42=""),"",IFERROR(VLOOKUP($Q42&amp;"|"&amp;$C42&amp;"|PD|"&amp;E42,'Norm Tables'!$A$2:$F$589,6,FALSE),""))</x:f>
      </x:c>
      <x:c r="L42" s="38" t="str">
        <x:f>IF(OR($Q42="",$C42=""),"",IFERROR(VLOOKUP($Q42&amp;"|"&amp;$C42&amp;"|MDD|"&amp;F42,'Norm Tables'!$A$2:$F$589,6,FALSE),""))</x:f>
      </x:c>
      <x:c r="M42" s="38" t="str">
        <x:f>IF(OR($Q42="",$C42=""),"",IFERROR(VLOOKUP($Q42&amp;"|"&amp;$C42&amp;"|SAD|"&amp;G42,'Norm Tables'!$A$2:$F$589,6,FALSE),""))</x:f>
      </x:c>
      <x:c r="N42" s="38" t="str">
        <x:f>IF(OR($Q42="",$C42=""),"",IFERROR(VLOOKUP($Q42&amp;"|"&amp;$C42&amp;"|GAD|"&amp;H42,'Norm Tables'!$A$2:$F$589,6,FALSE),""))</x:f>
      </x:c>
      <x:c r="O42" s="38" t="str">
        <x:f>IF(OR($Q42="",$C42=""),"",IFERROR(VLOOKUP($Q42&amp;"|"&amp;$C42&amp;"|OCD|"&amp;I42,'Norm Tables'!$A$2:$F$589,6,FALSE),""))</x:f>
      </x:c>
      <x:c r="P42" s="39" t="str">
        <x:f>IF(B42="","",B42-6)</x:f>
      </x:c>
      <x:c r="Q42" s="38" t="str">
        <x:f>IF(P42="","",IF(OR(P42=7,P42=8),"7-8",IF(OR(P42=9,P42=10),"9-10","")))</x:f>
      </x:c>
      <x:c r="R42" s="38" t="n">
        <x:f>COUNTBLANK('Item Scores'!B39:AV39)</x:f>
        <x:v>1</x:v>
      </x:c>
      <x:c r="S42" s="32" t="str">
        <x:f>IF(OR(B42="",C42=""),"Raw scores available; T-scores not calculated because age/sex is missing",IF(R42=0,"Complete",IF(R42&lt;=2,"Missing item(s); affected subscale score prorated","Review missing responses")))</x:f>
        <x:v>Raw scores available; T-scores not calculated because age/sex is missing</x:v>
      </x:c>
    </x:row>
    <x:row r="43">
      <x:c r="A43" s="21" t="str">
        <x:v>P39</x:v>
      </x:c>
      <x:c r="B43" s="34" t="n">
        <x:v>13</x:v>
      </x:c>
      <x:c r="C43" s="21" t="str">
        <x:v>Female</x:v>
      </x:c>
      <x:c r="D43" s="36" t="n">
        <x:f>IF(COUNT('Item Scores'!E40,'Item Scores'!H40,'Item Scores'!I40,'Item Scores'!M40,'Item Scores'!U40,'Item Scores'!AE40,'Item Scores'!AG40,'Item Scores'!AM40,'Item Scores'!AR40)&lt;7,"",ROUND(SUM('Item Scores'!E40,'Item Scores'!H40,'Item Scores'!I40,'Item Scores'!M40,'Item Scores'!U40,'Item Scores'!AE40,'Item Scores'!AG40,'Item Scores'!AM40,'Item Scores'!AR40)/COUNT('Item Scores'!E40,'Item Scores'!H40,'Item Scores'!I40,'Item Scores'!M40,'Item Scores'!U40,'Item Scores'!AE40,'Item Scores'!AG40,'Item Scores'!AM40,'Item Scores'!AR40)*9,0))</x:f>
        <x:v>9</x:v>
      </x:c>
      <x:c r="E43" s="36" t="n">
        <x:f>IF(COUNT('Item Scores'!D40,'Item Scores'!O40,'Item Scores'!Y40,'Item Scores'!AA40,'Item Scores'!AC40,'Item Scores'!AI40,'Item Scores'!AK40,'Item Scores'!AN40,'Item Scores'!AP40)&lt;7,"",ROUND(SUM('Item Scores'!D40,'Item Scores'!O40,'Item Scores'!Y40,'Item Scores'!AA40,'Item Scores'!AC40,'Item Scores'!AI40,'Item Scores'!AK40,'Item Scores'!AN40,'Item Scores'!AP40)/COUNT('Item Scores'!D40,'Item Scores'!O40,'Item Scores'!Y40,'Item Scores'!AA40,'Item Scores'!AC40,'Item Scores'!AI40,'Item Scores'!AK40,'Item Scores'!AN40,'Item Scores'!AP40)*9,0))</x:f>
        <x:v>4</x:v>
      </x:c>
      <x:c r="F43" s="36" t="n">
        <x:f>IF(COUNT('Item Scores'!C40,'Item Scores'!G40,'Item Scores'!L40,'Item Scores'!P40,'Item Scores'!T40,'Item Scores'!V40,'Item Scores'!Z40,'Item Scores'!AD40,'Item Scores'!AO40,'Item Scores'!AV40)&lt;8,"",ROUND(SUM('Item Scores'!C40,'Item Scores'!G40,'Item Scores'!L40,'Item Scores'!P40,'Item Scores'!T40,'Item Scores'!V40,'Item Scores'!Z40,'Item Scores'!AD40,'Item Scores'!AO40,'Item Scores'!AV40)/COUNT('Item Scores'!C40,'Item Scores'!G40,'Item Scores'!L40,'Item Scores'!P40,'Item Scores'!T40,'Item Scores'!V40,'Item Scores'!Z40,'Item Scores'!AD40,'Item Scores'!AO40,'Item Scores'!AV40)*10,0))</x:f>
        <x:v>4</x:v>
      </x:c>
      <x:c r="G43" s="36" t="n">
        <x:f>IF(COUNT('Item Scores'!F40,'Item Scores'!J40,'Item Scores'!R40,'Item Scores'!S40,'Item Scores'!AH40,'Item Scores'!AT40,'Item Scores'!AU40)&lt;5,"",ROUND(SUM('Item Scores'!F40,'Item Scores'!J40,'Item Scores'!R40,'Item Scores'!S40,'Item Scores'!AH40,'Item Scores'!AT40,'Item Scores'!AU40)/COUNT('Item Scores'!F40,'Item Scores'!J40,'Item Scores'!R40,'Item Scores'!S40,'Item Scores'!AH40,'Item Scores'!AT40,'Item Scores'!AU40)*7,0))</x:f>
        <x:v>4</x:v>
      </x:c>
      <x:c r="H43" s="36" t="n">
        <x:f>IF(COUNT('Item Scores'!B40,'Item Scores'!N40,'Item Scores'!W40,'Item Scores'!AB40,'Item Scores'!AJ40,'Item Scores'!AL40)&lt;4,"",ROUND(SUM('Item Scores'!B40,'Item Scores'!N40,'Item Scores'!W40,'Item Scores'!AB40,'Item Scores'!AJ40,'Item Scores'!AL40)/COUNT('Item Scores'!B40,'Item Scores'!N40,'Item Scores'!W40,'Item Scores'!AB40,'Item Scores'!AJ40,'Item Scores'!AL40)*6,0))</x:f>
        <x:v>4</x:v>
      </x:c>
      <x:c r="I43" s="36" t="n">
        <x:f>IF(COUNT('Item Scores'!K40,'Item Scores'!Q40,'Item Scores'!X40,'Item Scores'!AF40,'Item Scores'!AQ40,'Item Scores'!AS40)&lt;4,"",ROUND(SUM('Item Scores'!K40,'Item Scores'!Q40,'Item Scores'!X40,'Item Scores'!AF40,'Item Scores'!AQ40,'Item Scores'!AS40)/COUNT('Item Scores'!K40,'Item Scores'!Q40,'Item Scores'!X40,'Item Scores'!AF40,'Item Scores'!AQ40,'Item Scores'!AS40)*6,0))</x:f>
        <x:v>1</x:v>
      </x:c>
      <x:c r="J43" s="37" t="n">
        <x:f>IF(OR($Q43="",$C43=""),"",IFERROR(VLOOKUP($Q43&amp;"|"&amp;$C43&amp;"|SP|"&amp;D43,'Norm Tables'!$A$2:$F$589,6,FALSE),""))</x:f>
        <x:v>42</x:v>
      </x:c>
      <x:c r="K43" s="36" t="n">
        <x:f>IF(OR($Q43="",$C43=""),"",IFERROR(VLOOKUP($Q43&amp;"|"&amp;$C43&amp;"|PD|"&amp;E43,'Norm Tables'!$A$2:$F$589,6,FALSE),""))</x:f>
        <x:v>47</x:v>
      </x:c>
      <x:c r="L43" s="36" t="n">
        <x:f>IF(OR($Q43="",$C43=""),"",IFERROR(VLOOKUP($Q43&amp;"|"&amp;$C43&amp;"|MDD|"&amp;F43,'Norm Tables'!$A$2:$F$589,6,FALSE),""))</x:f>
        <x:v>40</x:v>
      </x:c>
      <x:c r="M43" s="36" t="n">
        <x:f>IF(OR($Q43="",$C43=""),"",IFERROR(VLOOKUP($Q43&amp;"|"&amp;$C43&amp;"|SAD|"&amp;G43,'Norm Tables'!$A$2:$F$589,6,FALSE),""))</x:f>
        <x:v>54</x:v>
      </x:c>
      <x:c r="N43" s="36" t="n">
        <x:f>IF(OR($Q43="",$C43=""),"",IFERROR(VLOOKUP($Q43&amp;"|"&amp;$C43&amp;"|GAD|"&amp;H43,'Norm Tables'!$A$2:$F$589,6,FALSE),""))</x:f>
        <x:v>39</x:v>
      </x:c>
      <x:c r="O43" s="36" t="n">
        <x:f>IF(OR($Q43="",$C43=""),"",IFERROR(VLOOKUP($Q43&amp;"|"&amp;$C43&amp;"|OCD|"&amp;I43,'Norm Tables'!$A$2:$F$589,6,FALSE),""))</x:f>
        <x:v>38</x:v>
      </x:c>
      <x:c r="P43" s="37" t="n">
        <x:f>IF(B43="","",B43-6)</x:f>
        <x:v>7</x:v>
      </x:c>
      <x:c r="Q43" s="36" t="str">
        <x:f>IF(P43="","",IF(OR(P43=7,P43=8),"7-8",IF(OR(P43=9,P43=10),"9-10","")))</x:f>
        <x:v>7-8</x:v>
      </x:c>
      <x:c r="R43" s="36" t="n">
        <x:f>COUNTBLANK('Item Scores'!B40:AV40)</x:f>
        <x:v>0</x:v>
      </x:c>
      <x:c r="S43" s="31" t="str">
        <x:f>IF(OR(B43="",C43=""),"Raw scores available; T-scores not calculated because age/sex is missing",IF(R43=0,"Complete",IF(R43&lt;=2,"Missing item(s); affected subscale score prorated","Review missing responses")))</x:f>
        <x:v>Complete</x:v>
      </x:c>
    </x:row>
    <x:row r="44">
      <x:c r="A44" s="22" t="str">
        <x:v>P40</x:v>
      </x:c>
      <x:c r="B44" s="35" t="n">
        <x:v>15</x:v>
      </x:c>
      <x:c r="C44" s="22" t="str">
        <x:v>Female</x:v>
      </x:c>
      <x:c r="D44" s="38" t="n">
        <x:f>IF(COUNT('Item Scores'!E41,'Item Scores'!H41,'Item Scores'!I41,'Item Scores'!M41,'Item Scores'!U41,'Item Scores'!AE41,'Item Scores'!AG41,'Item Scores'!AM41,'Item Scores'!AR41)&lt;7,"",ROUND(SUM('Item Scores'!E41,'Item Scores'!H41,'Item Scores'!I41,'Item Scores'!M41,'Item Scores'!U41,'Item Scores'!AE41,'Item Scores'!AG41,'Item Scores'!AM41,'Item Scores'!AR41)/COUNT('Item Scores'!E41,'Item Scores'!H41,'Item Scores'!I41,'Item Scores'!M41,'Item Scores'!U41,'Item Scores'!AE41,'Item Scores'!AG41,'Item Scores'!AM41,'Item Scores'!AR41)*9,0))</x:f>
        <x:v>14</x:v>
      </x:c>
      <x:c r="E44" s="38" t="n">
        <x:f>IF(COUNT('Item Scores'!D41,'Item Scores'!O41,'Item Scores'!Y41,'Item Scores'!AA41,'Item Scores'!AC41,'Item Scores'!AI41,'Item Scores'!AK41,'Item Scores'!AN41,'Item Scores'!AP41)&lt;7,"",ROUND(SUM('Item Scores'!D41,'Item Scores'!O41,'Item Scores'!Y41,'Item Scores'!AA41,'Item Scores'!AC41,'Item Scores'!AI41,'Item Scores'!AK41,'Item Scores'!AN41,'Item Scores'!AP41)/COUNT('Item Scores'!D41,'Item Scores'!O41,'Item Scores'!Y41,'Item Scores'!AA41,'Item Scores'!AC41,'Item Scores'!AI41,'Item Scores'!AK41,'Item Scores'!AN41,'Item Scores'!AP41)*9,0))</x:f>
        <x:v>7</x:v>
      </x:c>
      <x:c r="F44" s="38" t="n">
        <x:f>IF(COUNT('Item Scores'!C41,'Item Scores'!G41,'Item Scores'!L41,'Item Scores'!P41,'Item Scores'!T41,'Item Scores'!V41,'Item Scores'!Z41,'Item Scores'!AD41,'Item Scores'!AO41,'Item Scores'!AV41)&lt;8,"",ROUND(SUM('Item Scores'!C41,'Item Scores'!G41,'Item Scores'!L41,'Item Scores'!P41,'Item Scores'!T41,'Item Scores'!V41,'Item Scores'!Z41,'Item Scores'!AD41,'Item Scores'!AO41,'Item Scores'!AV41)/COUNT('Item Scores'!C41,'Item Scores'!G41,'Item Scores'!L41,'Item Scores'!P41,'Item Scores'!T41,'Item Scores'!V41,'Item Scores'!Z41,'Item Scores'!AD41,'Item Scores'!AO41,'Item Scores'!AV41)*10,0))</x:f>
        <x:v>12</x:v>
      </x:c>
      <x:c r="G44" s="38" t="n">
        <x:f>IF(COUNT('Item Scores'!F41,'Item Scores'!J41,'Item Scores'!R41,'Item Scores'!S41,'Item Scores'!AH41,'Item Scores'!AT41,'Item Scores'!AU41)&lt;5,"",ROUND(SUM('Item Scores'!F41,'Item Scores'!J41,'Item Scores'!R41,'Item Scores'!S41,'Item Scores'!AH41,'Item Scores'!AT41,'Item Scores'!AU41)/COUNT('Item Scores'!F41,'Item Scores'!J41,'Item Scores'!R41,'Item Scores'!S41,'Item Scores'!AH41,'Item Scores'!AT41,'Item Scores'!AU41)*7,0))</x:f>
        <x:v>4</x:v>
      </x:c>
      <x:c r="H44" s="38" t="n">
        <x:f>IF(COUNT('Item Scores'!B41,'Item Scores'!N41,'Item Scores'!W41,'Item Scores'!AB41,'Item Scores'!AJ41,'Item Scores'!AL41)&lt;4,"",ROUND(SUM('Item Scores'!B41,'Item Scores'!N41,'Item Scores'!W41,'Item Scores'!AB41,'Item Scores'!AJ41,'Item Scores'!AL41)/COUNT('Item Scores'!B41,'Item Scores'!N41,'Item Scores'!W41,'Item Scores'!AB41,'Item Scores'!AJ41,'Item Scores'!AL41)*6,0))</x:f>
        <x:v>13</x:v>
      </x:c>
      <x:c r="I44" s="38" t="n">
        <x:f>IF(COUNT('Item Scores'!K41,'Item Scores'!Q41,'Item Scores'!X41,'Item Scores'!AF41,'Item Scores'!AQ41,'Item Scores'!AS41)&lt;4,"",ROUND(SUM('Item Scores'!K41,'Item Scores'!Q41,'Item Scores'!X41,'Item Scores'!AF41,'Item Scores'!AQ41,'Item Scores'!AS41)/COUNT('Item Scores'!K41,'Item Scores'!Q41,'Item Scores'!X41,'Item Scores'!AF41,'Item Scores'!AQ41,'Item Scores'!AS41)*6,0))</x:f>
        <x:v>13</x:v>
      </x:c>
      <x:c r="J44" s="40" t="n">
        <x:f>IF(OR($Q44="",$C44=""),"",IFERROR(VLOOKUP($Q44&amp;"|"&amp;$C44&amp;"|SP|"&amp;D44,'Norm Tables'!$A$2:$F$589,6,FALSE),""))</x:f>
        <x:v>53</x:v>
      </x:c>
      <x:c r="K44" s="38" t="n">
        <x:f>IF(OR($Q44="",$C44=""),"",IFERROR(VLOOKUP($Q44&amp;"|"&amp;$C44&amp;"|PD|"&amp;E44,'Norm Tables'!$A$2:$F$589,6,FALSE),""))</x:f>
        <x:v>59</x:v>
      </x:c>
      <x:c r="L44" s="38" t="n">
        <x:f>IF(OR($Q44="",$C44=""),"",IFERROR(VLOOKUP($Q44&amp;"|"&amp;$C44&amp;"|MDD|"&amp;F44,'Norm Tables'!$A$2:$F$589,6,FALSE),""))</x:f>
        <x:v>62</x:v>
      </x:c>
      <x:c r="M44" s="38" t="n">
        <x:f>IF(OR($Q44="",$C44=""),"",IFERROR(VLOOKUP($Q44&amp;"|"&amp;$C44&amp;"|SAD|"&amp;G44,'Norm Tables'!$A$2:$F$589,6,FALSE),""))</x:f>
        <x:v>57</x:v>
      </x:c>
      <x:c r="N44" s="38" t="n">
        <x:f>IF(OR($Q44="",$C44=""),"",IFERROR(VLOOKUP($Q44&amp;"|"&amp;$C44&amp;"|GAD|"&amp;H44,'Norm Tables'!$A$2:$F$589,6,FALSE),""))</x:f>
        <x:v>67</x:v>
      </x:c>
      <x:c r="O44" s="38" t="n">
        <x:f>IF(OR($Q44="",$C44=""),"",IFERROR(VLOOKUP($Q44&amp;"|"&amp;$C44&amp;"|OCD|"&amp;I44,'Norm Tables'!$A$2:$F$589,6,FALSE),""))</x:f>
        <x:v>82</x:v>
      </x:c>
      <x:c r="P44" s="40" t="n">
        <x:f>IF(B44="","",B44-6)</x:f>
        <x:v>9</x:v>
      </x:c>
      <x:c r="Q44" s="38" t="str">
        <x:f>IF(P44="","",IF(OR(P44=7,P44=8),"7-8",IF(OR(P44=9,P44=10),"9-10","")))</x:f>
        <x:v>9-10</x:v>
      </x:c>
      <x:c r="R44" s="38" t="n">
        <x:f>COUNTBLANK('Item Scores'!B41:AV41)</x:f>
        <x:v>0</x:v>
      </x:c>
      <x:c r="S44" s="33" t="str">
        <x:f>IF(OR(B44="",C44=""),"Raw scores available; T-scores not calculated because age/sex is missing",IF(R44=0,"Complete",IF(R44&lt;=2,"Missing item(s); affected subscale score prorated","Review missing responses")))</x:f>
        <x:v>Complete</x:v>
      </x:c>
    </x:row>
  </x:sheetData>
  <x:mergeCells>
    <x:mergeCell ref="A1:S1"/>
    <x:mergeCell ref="A2:S2"/>
  </x:mergeCells>
  <x:conditionalFormatting sqref="J5:O44">
    <x:cfRule type="cellIs" dxfId="0" priority="1" operator="between">
      <x:formula>65</x:formula>
      <x:formula>69</x:formula>
    </x:cfRule>
    <x:cfRule type="cellIs" dxfId="1" priority="2" operator="greaterThanOrEqual">
      <x:formula>70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37" max="37" width="9" hidden="0" customWidth="1"/>
    <x:col min="38" max="38" width="9" hidden="0" customWidth="1"/>
    <x:col min="39" max="39" width="9" hidden="0" customWidth="1"/>
    <x:col min="40" max="40" width="9" hidden="0" customWidth="1"/>
    <x:col min="41" max="41" width="9" hidden="0" customWidth="1"/>
    <x:col min="42" max="42" width="9" hidden="0" customWidth="1"/>
    <x:col min="43" max="43" width="9" hidden="0" customWidth="1"/>
    <x:col min="44" max="44" width="9" hidden="0" customWidth="1"/>
    <x:col min="45" max="45" width="9" hidden="0" customWidth="1"/>
    <x:col min="46" max="46" width="9" hidden="0" customWidth="1"/>
    <x:col min="47" max="47" width="9" hidden="0" customWidth="1"/>
    <x:col min="48" max="48" width="9" hidden="0" customWidth="1"/>
  </x:cols>
  <x:sheetData>
    <x:row r="1" ht="32" customHeight="1">
      <x:c r="A1" s="41" t="str">
        <x:v>PID</x:v>
      </x:c>
      <x:c r="B1" s="41" t="str">
        <x:v>Item 1</x:v>
      </x:c>
      <x:c r="C1" s="41" t="str">
        <x:v>Item 2</x:v>
      </x:c>
      <x:c r="D1" s="41" t="str">
        <x:v>Item 3</x:v>
      </x:c>
      <x:c r="E1" s="41" t="str">
        <x:v>Item 4</x:v>
      </x:c>
      <x:c r="F1" s="41" t="str">
        <x:v>Item 5</x:v>
      </x:c>
      <x:c r="G1" s="41" t="str">
        <x:v>Item 6</x:v>
      </x:c>
      <x:c r="H1" s="41" t="str">
        <x:v>Item 7</x:v>
      </x:c>
      <x:c r="I1" s="41" t="str">
        <x:v>Item 8</x:v>
      </x:c>
      <x:c r="J1" s="41" t="str">
        <x:v>Item 9</x:v>
      </x:c>
      <x:c r="K1" s="41" t="str">
        <x:v>Item 10</x:v>
      </x:c>
      <x:c r="L1" s="41" t="str">
        <x:v>Item 11</x:v>
      </x:c>
      <x:c r="M1" s="41" t="str">
        <x:v>Item 12</x:v>
      </x:c>
      <x:c r="N1" s="41" t="str">
        <x:v>Item 13</x:v>
      </x:c>
      <x:c r="O1" s="41" t="str">
        <x:v>Item 14</x:v>
      </x:c>
      <x:c r="P1" s="41" t="str">
        <x:v>Item 15</x:v>
      </x:c>
      <x:c r="Q1" s="41" t="str">
        <x:v>Item 16</x:v>
      </x:c>
      <x:c r="R1" s="41" t="str">
        <x:v>Item 17</x:v>
      </x:c>
      <x:c r="S1" s="41" t="str">
        <x:v>Item 18</x:v>
      </x:c>
      <x:c r="T1" s="41" t="str">
        <x:v>Item 19</x:v>
      </x:c>
      <x:c r="U1" s="41" t="str">
        <x:v>Item 20</x:v>
      </x:c>
      <x:c r="V1" s="41" t="str">
        <x:v>Item 21</x:v>
      </x:c>
      <x:c r="W1" s="41" t="str">
        <x:v>Item 22</x:v>
      </x:c>
      <x:c r="X1" s="41" t="str">
        <x:v>Item 23</x:v>
      </x:c>
      <x:c r="Y1" s="41" t="str">
        <x:v>Item 24</x:v>
      </x:c>
      <x:c r="Z1" s="41" t="str">
        <x:v>Item 25</x:v>
      </x:c>
      <x:c r="AA1" s="41" t="str">
        <x:v>Item 26</x:v>
      </x:c>
      <x:c r="AB1" s="41" t="str">
        <x:v>Item 27</x:v>
      </x:c>
      <x:c r="AC1" s="41" t="str">
        <x:v>Item 28</x:v>
      </x:c>
      <x:c r="AD1" s="41" t="str">
        <x:v>Item 29</x:v>
      </x:c>
      <x:c r="AE1" s="41" t="str">
        <x:v>Item 30</x:v>
      </x:c>
      <x:c r="AF1" s="41" t="str">
        <x:v>Item 31</x:v>
      </x:c>
      <x:c r="AG1" s="41" t="str">
        <x:v>Item 32</x:v>
      </x:c>
      <x:c r="AH1" s="41" t="str">
        <x:v>Item 33</x:v>
      </x:c>
      <x:c r="AI1" s="41" t="str">
        <x:v>Item 34</x:v>
      </x:c>
      <x:c r="AJ1" s="41" t="str">
        <x:v>Item 35</x:v>
      </x:c>
      <x:c r="AK1" s="41" t="str">
        <x:v>Item 36</x:v>
      </x:c>
      <x:c r="AL1" s="41" t="str">
        <x:v>Item 37</x:v>
      </x:c>
      <x:c r="AM1" s="41" t="str">
        <x:v>Item 38</x:v>
      </x:c>
      <x:c r="AN1" s="41" t="str">
        <x:v>Item 39</x:v>
      </x:c>
      <x:c r="AO1" s="41" t="str">
        <x:v>Item 40</x:v>
      </x:c>
      <x:c r="AP1" s="41" t="str">
        <x:v>Item 41</x:v>
      </x:c>
      <x:c r="AQ1" s="41" t="str">
        <x:v>Item 42</x:v>
      </x:c>
      <x:c r="AR1" s="41" t="str">
        <x:v>Item 43</x:v>
      </x:c>
      <x:c r="AS1" s="41" t="str">
        <x:v>Item 44</x:v>
      </x:c>
      <x:c r="AT1" s="41" t="str">
        <x:v>Item 45</x:v>
      </x:c>
      <x:c r="AU1" s="41" t="str">
        <x:v>Item 46</x:v>
      </x:c>
      <x:c r="AV1" s="41" t="str">
        <x:v>Item 47</x:v>
      </x:c>
    </x:row>
    <x:row r="2">
      <x:c r="A2" s="42" t="str">
        <x:v>P1</x:v>
      </x:c>
      <x:c r="B2" s="42" t="n">
        <x:v>2</x:v>
      </x:c>
      <x:c r="C2" s="42" t="n">
        <x:v>1</x:v>
      </x:c>
      <x:c r="D2" s="42" t="n">
        <x:v>1</x:v>
      </x:c>
      <x:c r="E2" s="42" t="n">
        <x:v>1</x:v>
      </x:c>
      <x:c r="F2" s="42" t="n">
        <x:v>0</x:v>
      </x:c>
      <x:c r="G2" s="42" t="n">
        <x:v>0</x:v>
      </x:c>
      <x:c r="H2" s="42" t="n">
        <x:v>0</x:v>
      </x:c>
      <x:c r="I2" s="42" t="n">
        <x:v>2</x:v>
      </x:c>
      <x:c r="J2" s="42" t="n">
        <x:v>0</x:v>
      </x:c>
      <x:c r="K2" s="42" t="n">
        <x:v>0</x:v>
      </x:c>
      <x:c r="L2" s="42" t="n">
        <x:v>0</x:v>
      </x:c>
      <x:c r="M2" s="42" t="n">
        <x:v>3</x:v>
      </x:c>
      <x:c r="N2" s="42" t="n">
        <x:v>1</x:v>
      </x:c>
      <x:c r="O2" s="42" t="n">
        <x:v>0</x:v>
      </x:c>
      <x:c r="P2" s="42" t="n">
        <x:v>0</x:v>
      </x:c>
      <x:c r="Q2" s="42" t="n">
        <x:v>0</x:v>
      </x:c>
      <x:c r="R2" s="42" t="n">
        <x:v>0</x:v>
      </x:c>
      <x:c r="S2" s="42" t="n">
        <x:v>0</x:v>
      </x:c>
      <x:c r="T2" s="42" t="n">
        <x:v>1</x:v>
      </x:c>
      <x:c r="U2" s="42" t="n">
        <x:v>1</x:v>
      </x:c>
      <x:c r="V2" s="42" t="n">
        <x:v>1</x:v>
      </x:c>
      <x:c r="W2" s="42" t="n">
        <x:v>0</x:v>
      </x:c>
      <x:c r="X2" s="42" t="n">
        <x:v>0</x:v>
      </x:c>
      <x:c r="Y2" s="42" t="n">
        <x:v>1</x:v>
      </x:c>
      <x:c r="Z2" s="42" t="n">
        <x:v>0</x:v>
      </x:c>
      <x:c r="AA2" s="42" t="n">
        <x:v>0</x:v>
      </x:c>
      <x:c r="AB2" s="42" t="n">
        <x:v>0</x:v>
      </x:c>
      <x:c r="AC2" s="42" t="n">
        <x:v>0</x:v>
      </x:c>
      <x:c r="AD2" s="42" t="n">
        <x:v>0</x:v>
      </x:c>
      <x:c r="AE2" s="42" t="n">
        <x:v>1</x:v>
      </x:c>
      <x:c r="AF2" s="42" t="n">
        <x:v>0</x:v>
      </x:c>
      <x:c r="AG2" s="42" t="n">
        <x:v>2</x:v>
      </x:c>
      <x:c r="AH2" s="42" t="n">
        <x:v>1</x:v>
      </x:c>
      <x:c r="AI2" s="42" t="n">
        <x:v>0</x:v>
      </x:c>
      <x:c r="AJ2" s="42" t="n">
        <x:v>0</x:v>
      </x:c>
      <x:c r="AK2" s="42" t="n">
        <x:v>0</x:v>
      </x:c>
      <x:c r="AL2" s="42" t="n">
        <x:v>1</x:v>
      </x:c>
      <x:c r="AM2" s="42" t="n">
        <x:v>0</x:v>
      </x:c>
      <x:c r="AN2" s="42" t="n">
        <x:v>0</x:v>
      </x:c>
      <x:c r="AO2" s="42" t="n">
        <x:v>0</x:v>
      </x:c>
      <x:c r="AP2" s="42" t="n">
        <x:v>0</x:v>
      </x:c>
      <x:c r="AQ2" s="42" t="n">
        <x:v>0</x:v>
      </x:c>
      <x:c r="AR2" s="42" t="n">
        <x:v>1</x:v>
      </x:c>
      <x:c r="AS2" s="42" t="n">
        <x:v>0</x:v>
      </x:c>
      <x:c r="AT2" s="42" t="n">
        <x:v>0</x:v>
      </x:c>
      <x:c r="AU2" s="42" t="n">
        <x:v>0</x:v>
      </x:c>
      <x:c r="AV2" s="42" t="n">
        <x:v>1</x:v>
      </x:c>
    </x:row>
    <x:row r="3">
      <x:c r="A3" s="43" t="str">
        <x:v>P2</x:v>
      </x:c>
      <x:c r="B3" s="43" t="n">
        <x:v>1</x:v>
      </x:c>
      <x:c r="C3" s="43" t="n">
        <x:v>1</x:v>
      </x:c>
      <x:c r="D3" s="43" t="n">
        <x:v>0</x:v>
      </x:c>
      <x:c r="E3" s="43" t="n">
        <x:v>2</x:v>
      </x:c>
      <x:c r="F3" s="43" t="n">
        <x:v>0</x:v>
      </x:c>
      <x:c r="G3" s="43" t="n">
        <x:v>1</x:v>
      </x:c>
      <x:c r="H3" s="43" t="n">
        <x:v>0</x:v>
      </x:c>
      <x:c r="I3" s="43" t="n">
        <x:v>0</x:v>
      </x:c>
      <x:c r="J3" s="43" t="n">
        <x:v>1</x:v>
      </x:c>
      <x:c r="K3" s="43" t="n">
        <x:v>1</x:v>
      </x:c>
      <x:c r="L3" s="43" t="n">
        <x:v>1</x:v>
      </x:c>
      <x:c r="M3" s="43" t="n">
        <x:v>0</x:v>
      </x:c>
      <x:c r="N3" s="43" t="n">
        <x:v>0</x:v>
      </x:c>
      <x:c r="O3" s="43" t="n">
        <x:v>0</x:v>
      </x:c>
      <x:c r="P3" s="43" t="n">
        <x:v>2</x:v>
      </x:c>
      <x:c r="Q3" s="43" t="n">
        <x:v>1</x:v>
      </x:c>
      <x:c r="R3" s="43" t="n">
        <x:v>0</x:v>
      </x:c>
      <x:c r="S3" s="43" t="n">
        <x:v>0</x:v>
      </x:c>
      <x:c r="T3" s="43" t="n">
        <x:v>0</x:v>
      </x:c>
      <x:c r="U3" s="43" t="n">
        <x:v>3</x:v>
      </x:c>
      <x:c r="V3" s="43" t="n">
        <x:v>0</x:v>
      </x:c>
      <x:c r="W3" s="43" t="n">
        <x:v>0</x:v>
      </x:c>
      <x:c r="X3" s="43" t="n">
        <x:v>0</x:v>
      </x:c>
      <x:c r="Y3" s="43" t="n">
        <x:v>0</x:v>
      </x:c>
      <x:c r="Z3" s="43" t="n">
        <x:v>0</x:v>
      </x:c>
      <x:c r="AA3" s="43" t="n">
        <x:v>0</x:v>
      </x:c>
      <x:c r="AB3" s="43" t="n">
        <x:v>0</x:v>
      </x:c>
      <x:c r="AC3" s="43" t="n">
        <x:v>0</x:v>
      </x:c>
      <x:c r="AD3" s="43" t="n">
        <x:v>1</x:v>
      </x:c>
      <x:c r="AE3" s="43" t="n">
        <x:v>0</x:v>
      </x:c>
      <x:c r="AF3" s="43" t="n">
        <x:v>0</x:v>
      </x:c>
      <x:c r="AG3" s="43" t="n">
        <x:v>0</x:v>
      </x:c>
      <x:c r="AH3" s="43" t="n">
        <x:v>1</x:v>
      </x:c>
      <x:c r="AI3" s="43" t="n">
        <x:v>0</x:v>
      </x:c>
      <x:c r="AJ3" s="43" t="n">
        <x:v>0</x:v>
      </x:c>
      <x:c r="AK3" s="43" t="n">
        <x:v>0</x:v>
      </x:c>
      <x:c r="AL3" s="43" t="n">
        <x:v>0</x:v>
      </x:c>
      <x:c r="AM3" s="43" t="n">
        <x:v>0</x:v>
      </x:c>
      <x:c r="AN3" s="43" t="n">
        <x:v>0</x:v>
      </x:c>
      <x:c r="AO3" s="43" t="n">
        <x:v>0</x:v>
      </x:c>
      <x:c r="AP3" s="43" t="n">
        <x:v>0</x:v>
      </x:c>
      <x:c r="AQ3" s="43" t="n">
        <x:v>0</x:v>
      </x:c>
      <x:c r="AR3" s="43" t="n">
        <x:v>0</x:v>
      </x:c>
      <x:c r="AS3" s="43" t="n">
        <x:v>0</x:v>
      </x:c>
      <x:c r="AT3" s="43" t="n">
        <x:v>0</x:v>
      </x:c>
      <x:c r="AU3" s="43" t="n">
        <x:v>0</x:v>
      </x:c>
      <x:c r="AV3" s="43" t="n">
        <x:v>0</x:v>
      </x:c>
    </x:row>
    <x:row r="4">
      <x:c r="A4" s="42" t="str">
        <x:v>P3</x:v>
      </x:c>
      <x:c r="B4" s="42" t="n">
        <x:v>1</x:v>
      </x:c>
      <x:c r="C4" s="42" t="n">
        <x:v>1</x:v>
      </x:c>
      <x:c r="D4" s="42" t="n">
        <x:v>2</x:v>
      </x:c>
      <x:c r="E4" s="42" t="n">
        <x:v>3</x:v>
      </x:c>
      <x:c r="F4" s="42" t="n">
        <x:v>0</x:v>
      </x:c>
      <x:c r="G4" s="42" t="n">
        <x:v>1</x:v>
      </x:c>
      <x:c r="H4" s="42" t="n">
        <x:v>2</x:v>
      </x:c>
      <x:c r="I4" s="42" t="n">
        <x:v>2</x:v>
      </x:c>
      <x:c r="J4" s="42" t="n">
        <x:v>0</x:v>
      </x:c>
      <x:c r="K4" s="42" t="n">
        <x:v>2</x:v>
      </x:c>
      <x:c r="L4" s="42" t="n">
        <x:v>1</x:v>
      </x:c>
      <x:c r="M4" s="42" t="n">
        <x:v>3</x:v>
      </x:c>
      <x:c r="N4" s="42" t="n">
        <x:v>0</x:v>
      </x:c>
      <x:c r="O4" s="42" t="n">
        <x:v>1</x:v>
      </x:c>
      <x:c r="P4" s="42" t="n">
        <x:v>0</x:v>
      </x:c>
      <x:c r="Q4" s="42" t="n">
        <x:v>0</x:v>
      </x:c>
      <x:c r="R4" s="42" t="n">
        <x:v>0</x:v>
      </x:c>
      <x:c r="S4" s="42" t="n">
        <x:v>1</x:v>
      </x:c>
      <x:c r="T4" s="42" t="n">
        <x:v>1</x:v>
      </x:c>
      <x:c r="U4" s="42" t="n">
        <x:v>3</x:v>
      </x:c>
      <x:c r="V4" s="42" t="n">
        <x:v>0</x:v>
      </x:c>
      <x:c r="W4" s="42" t="n">
        <x:v>2</x:v>
      </x:c>
      <x:c r="X4" s="42" t="n">
        <x:v>1</x:v>
      </x:c>
      <x:c r="Y4" s="42" t="n">
        <x:v>1</x:v>
      </x:c>
      <x:c r="Z4" s="42" t="n">
        <x:v>1</x:v>
      </x:c>
      <x:c r="AA4" s="42" t="n">
        <x:v>1</x:v>
      </x:c>
      <x:c r="AB4" s="42" t="n">
        <x:v>1</x:v>
      </x:c>
      <x:c r="AC4" s="42" t="n">
        <x:v>1</x:v>
      </x:c>
      <x:c r="AD4" s="42" t="n">
        <x:v>2</x:v>
      </x:c>
      <x:c r="AE4" s="42" t="n">
        <x:v>3</x:v>
      </x:c>
      <x:c r="AF4" s="42" t="n">
        <x:v>1</x:v>
      </x:c>
      <x:c r="AG4" s="42" t="n">
        <x:v>3</x:v>
      </x:c>
      <x:c r="AH4" s="42" t="n">
        <x:v>2</x:v>
      </x:c>
      <x:c r="AI4" s="42" t="n">
        <x:v>0</x:v>
      </x:c>
      <x:c r="AJ4" s="42" t="n">
        <x:v>1</x:v>
      </x:c>
      <x:c r="AK4" s="42" t="n">
        <x:v>0</x:v>
      </x:c>
      <x:c r="AL4" s="42" t="n">
        <x:v>1</x:v>
      </x:c>
      <x:c r="AM4" s="42" t="n">
        <x:v>1</x:v>
      </x:c>
      <x:c r="AN4" s="42" t="n">
        <x:v>1</x:v>
      </x:c>
      <x:c r="AO4" s="42" t="n">
        <x:v>1</x:v>
      </x:c>
      <x:c r="AP4" s="42" t="n">
        <x:v>1</x:v>
      </x:c>
      <x:c r="AQ4" s="42" t="n">
        <x:v>0</x:v>
      </x:c>
      <x:c r="AR4" s="42" t="n">
        <x:v>2</x:v>
      </x:c>
      <x:c r="AS4" s="42" t="n">
        <x:v>1</x:v>
      </x:c>
      <x:c r="AT4" s="42" t="n">
        <x:v>1</x:v>
      </x:c>
      <x:c r="AU4" s="42" t="n">
        <x:v>0</x:v>
      </x:c>
      <x:c r="AV4" s="42" t="n">
        <x:v>1</x:v>
      </x:c>
    </x:row>
    <x:row r="5">
      <x:c r="A5" s="43" t="str">
        <x:v>P4</x:v>
      </x:c>
      <x:c r="B5" s="43" t="n">
        <x:v>1</x:v>
      </x:c>
      <x:c r="C5" s="43" t="n">
        <x:v>1</x:v>
      </x:c>
      <x:c r="D5" s="43" t="n">
        <x:v>0</x:v>
      </x:c>
      <x:c r="E5" s="43" t="n">
        <x:v>1</x:v>
      </x:c>
      <x:c r="F5" s="43" t="n">
        <x:v>0</x:v>
      </x:c>
      <x:c r="G5" s="43" t="n">
        <x:v>0</x:v>
      </x:c>
      <x:c r="H5" s="43" t="n">
        <x:v>1</x:v>
      </x:c>
      <x:c r="I5" s="43" t="n">
        <x:v>0</x:v>
      </x:c>
      <x:c r="J5" s="43" t="n">
        <x:v>1</x:v>
      </x:c>
      <x:c r="K5" s="43" t="n">
        <x:v>0</x:v>
      </x:c>
      <x:c r="L5" s="43" t="n">
        <x:v>1</x:v>
      </x:c>
      <x:c r="M5" s="43" t="n">
        <x:v>1</x:v>
      </x:c>
      <x:c r="N5" s="43" t="n">
        <x:v>0</x:v>
      </x:c>
      <x:c r="O5" s="43" t="n">
        <x:v>0</x:v>
      </x:c>
      <x:c r="P5" s="43" t="n">
        <x:v>0</x:v>
      </x:c>
      <x:c r="Q5" s="43" t="n">
        <x:v>1</x:v>
      </x:c>
      <x:c r="R5" s="43" t="n">
        <x:v>0</x:v>
      </x:c>
      <x:c r="S5" s="43" t="n">
        <x:v>0</x:v>
      </x:c>
      <x:c r="T5" s="43" t="n">
        <x:v>0</x:v>
      </x:c>
      <x:c r="U5" s="43" t="n">
        <x:v>1</x:v>
      </x:c>
      <x:c r="V5" s="43" t="n">
        <x:v>1</x:v>
      </x:c>
      <x:c r="W5" s="43" t="n">
        <x:v>1</x:v>
      </x:c>
      <x:c r="X5" s="43" t="n">
        <x:v>1</x:v>
      </x:c>
      <x:c r="Y5" s="43" t="n">
        <x:v>0</x:v>
      </x:c>
      <x:c r="Z5" s="43" t="n">
        <x:v>1</x:v>
      </x:c>
      <x:c r="AA5" s="43" t="n">
        <x:v>0</x:v>
      </x:c>
      <x:c r="AB5" s="43" t="n">
        <x:v>1</x:v>
      </x:c>
      <x:c r="AC5" s="43" t="n">
        <x:v>0</x:v>
      </x:c>
      <x:c r="AD5" s="43" t="n">
        <x:v>0</x:v>
      </x:c>
      <x:c r="AE5" s="43" t="n">
        <x:v>1</x:v>
      </x:c>
      <x:c r="AF5" s="43" t="n">
        <x:v>0</x:v>
      </x:c>
      <x:c r="AG5" s="43" t="n">
        <x:v>1</x:v>
      </x:c>
      <x:c r="AH5" s="43" t="n">
        <x:v>0</x:v>
      </x:c>
      <x:c r="AI5" s="43" t="n">
        <x:v>0</x:v>
      </x:c>
      <x:c r="AJ5" s="43" t="n">
        <x:v>1</x:v>
      </x:c>
      <x:c r="AK5" s="43" t="n">
        <x:v>0</x:v>
      </x:c>
      <x:c r="AL5" s="43" t="n">
        <x:v>0</x:v>
      </x:c>
      <x:c r="AM5" s="43" t="n">
        <x:v>1</x:v>
      </x:c>
      <x:c r="AN5" s="43" t="n">
        <x:v>0</x:v>
      </x:c>
      <x:c r="AO5" s="43" t="n">
        <x:v>0</x:v>
      </x:c>
      <x:c r="AP5" s="43" t="n">
        <x:v>0</x:v>
      </x:c>
      <x:c r="AQ5" s="43" t="n">
        <x:v>0</x:v>
      </x:c>
      <x:c r="AR5" s="43" t="n">
        <x:v>1</x:v>
      </x:c>
      <x:c r="AS5" s="43" t="n">
        <x:v>0</x:v>
      </x:c>
      <x:c r="AT5" s="43" t="n">
        <x:v>0</x:v>
      </x:c>
      <x:c r="AU5" s="43" t="n">
        <x:v>0</x:v>
      </x:c>
      <x:c r="AV5" s="43" t="n">
        <x:v>1</x:v>
      </x:c>
    </x:row>
    <x:row r="6">
      <x:c r="A6" s="42" t="str">
        <x:v>P5</x:v>
      </x:c>
      <x:c r="B6" s="42" t="n">
        <x:v>2</x:v>
      </x:c>
      <x:c r="C6" s="42" t="n">
        <x:v>1</x:v>
      </x:c>
      <x:c r="D6" s="42" t="n">
        <x:v>1</x:v>
      </x:c>
      <x:c r="E6" s="42" t="n">
        <x:v>3</x:v>
      </x:c>
      <x:c r="F6" s="42" t="n">
        <x:v>1</x:v>
      </x:c>
      <x:c r="G6" s="42" t="n">
        <x:v>0</x:v>
      </x:c>
      <x:c r="H6" s="42" t="n">
        <x:v>1</x:v>
      </x:c>
      <x:c r="I6" s="42" t="n">
        <x:v>3</x:v>
      </x:c>
      <x:c r="J6" s="42" t="n">
        <x:v>1</x:v>
      </x:c>
      <x:c r="K6" s="42" t="n">
        <x:v>1</x:v>
      </x:c>
      <x:c r="L6" s="42" t="n">
        <x:v>1</x:v>
      </x:c>
      <x:c r="M6" s="42" t="n">
        <x:v>0</x:v>
      </x:c>
      <x:c r="N6" s="42" t="n">
        <x:v>2</x:v>
      </x:c>
      <x:c r="O6" s="42" t="n">
        <x:v>0</x:v>
      </x:c>
      <x:c r="P6" s="42" t="n">
        <x:v>0</x:v>
      </x:c>
      <x:c r="Q6" s="42" t="n">
        <x:v>1</x:v>
      </x:c>
      <x:c r="R6" s="42" t="n">
        <x:v>0</x:v>
      </x:c>
      <x:c r="S6" s="42" t="n">
        <x:v>0</x:v>
      </x:c>
      <x:c r="T6" s="42" t="n">
        <x:v>1</x:v>
      </x:c>
      <x:c r="U6" s="42" t="n">
        <x:v>2</x:v>
      </x:c>
      <x:c r="V6" s="42" t="n">
        <x:v>1</x:v>
      </x:c>
      <x:c r="W6" s="42" t="n">
        <x:v>1</x:v>
      </x:c>
      <x:c r="X6" s="42" t="n">
        <x:v>1</x:v>
      </x:c>
      <x:c r="Y6" s="42" t="n">
        <x:v>2</x:v>
      </x:c>
      <x:c r="Z6" s="42" t="n">
        <x:v>1</x:v>
      </x:c>
      <x:c r="AA6" s="42" t="n">
        <x:v>0</x:v>
      </x:c>
      <x:c r="AB6" s="42" t="n">
        <x:v>0</x:v>
      </x:c>
      <x:c r="AC6" s="42" t="n">
        <x:v>2</x:v>
      </x:c>
      <x:c r="AD6" s="42" t="n">
        <x:v>0</x:v>
      </x:c>
      <x:c r="AE6" s="42" t="n">
        <x:v>3</x:v>
      </x:c>
      <x:c r="AF6" s="42" t="n">
        <x:v>0</x:v>
      </x:c>
      <x:c r="AG6" s="42" t="n">
        <x:v>3</x:v>
      </x:c>
      <x:c r="AH6" s="42" t="n">
        <x:v>1</x:v>
      </x:c>
      <x:c r="AI6" s="42" t="n">
        <x:v>1</x:v>
      </x:c>
      <x:c r="AJ6" s="42" t="n">
        <x:v>3</x:v>
      </x:c>
      <x:c r="AK6" s="42" t="n">
        <x:v>0</x:v>
      </x:c>
      <x:c r="AL6" s="42" t="n">
        <x:v>0</x:v>
      </x:c>
      <x:c r="AM6" s="42" t="n">
        <x:v>2</x:v>
      </x:c>
      <x:c r="AN6" s="42" t="n">
        <x:v>0</x:v>
      </x:c>
      <x:c r="AO6" s="42" t="n">
        <x:v>0</x:v>
      </x:c>
      <x:c r="AP6" s="42" t="n">
        <x:v>0</x:v>
      </x:c>
      <x:c r="AQ6" s="42" t="n">
        <x:v>1</x:v>
      </x:c>
      <x:c r="AR6" s="42" t="n">
        <x:v>3</x:v>
      </x:c>
      <x:c r="AS6" s="42" t="n">
        <x:v>0</x:v>
      </x:c>
      <x:c r="AT6" s="42" t="n">
        <x:v>1</x:v>
      </x:c>
      <x:c r="AU6" s="42" t="n">
        <x:v>1</x:v>
      </x:c>
      <x:c r="AV6" s="42" t="n">
        <x:v>1</x:v>
      </x:c>
    </x:row>
    <x:row r="7">
      <x:c r="A7" s="43" t="str">
        <x:v>P6</x:v>
      </x:c>
      <x:c r="B7" s="43" t="n">
        <x:v>0</x:v>
      </x:c>
      <x:c r="C7" s="43" t="n">
        <x:v>0</x:v>
      </x:c>
      <x:c r="D7" s="43" t="n">
        <x:v>0</x:v>
      </x:c>
      <x:c r="E7" s="43" t="n">
        <x:v>1</x:v>
      </x:c>
      <x:c r="F7" s="43" t="n">
        <x:v>1</x:v>
      </x:c>
      <x:c r="G7" s="43" t="n">
        <x:v>0</x:v>
      </x:c>
      <x:c r="H7" s="43" t="n">
        <x:v>1</x:v>
      </x:c>
      <x:c r="I7" s="43" t="n">
        <x:v>0</x:v>
      </x:c>
      <x:c r="J7" s="43" t="n">
        <x:v>0</x:v>
      </x:c>
      <x:c r="K7" s="43" t="n">
        <x:v>0</x:v>
      </x:c>
      <x:c r="L7" s="43" t="n">
        <x:v>0</x:v>
      </x:c>
      <x:c r="M7" s="43" t="n">
        <x:v>0</x:v>
      </x:c>
      <x:c r="N7" s="43" t="n">
        <x:v>0</x:v>
      </x:c>
      <x:c r="O7" s="43" t="n">
        <x:v>0</x:v>
      </x:c>
      <x:c r="P7" s="43" t="n">
        <x:v>0</x:v>
      </x:c>
      <x:c r="Q7" s="43" t="n">
        <x:v>0</x:v>
      </x:c>
      <x:c r="R7" s="43" t="n">
        <x:v>0</x:v>
      </x:c>
      <x:c r="S7" s="43" t="n">
        <x:v>0</x:v>
      </x:c>
      <x:c r="T7" s="43" t="n">
        <x:v>0</x:v>
      </x:c>
      <x:c r="U7" s="43" t="n">
        <x:v>0</x:v>
      </x:c>
      <x:c r="V7" s="43" t="n">
        <x:v>0</x:v>
      </x:c>
      <x:c r="W7" s="43" t="n">
        <x:v>0</x:v>
      </x:c>
      <x:c r="X7" s="43" t="n">
        <x:v>1</x:v>
      </x:c>
      <x:c r="Y7" s="43" t="n">
        <x:v>0</x:v>
      </x:c>
      <x:c r="Z7" s="43" t="n">
        <x:v>0</x:v>
      </x:c>
      <x:c r="AA7" s="43" t="n">
        <x:v>0</x:v>
      </x:c>
      <x:c r="AB7" s="43" t="n">
        <x:v>0</x:v>
      </x:c>
      <x:c r="AC7" s="43" t="n">
        <x:v>0</x:v>
      </x:c>
      <x:c r="AD7" s="43" t="n">
        <x:v>0</x:v>
      </x:c>
      <x:c r="AE7" s="43" t="n">
        <x:v>0</x:v>
      </x:c>
      <x:c r="AF7" s="43" t="n">
        <x:v>0</x:v>
      </x:c>
      <x:c r="AG7" s="43" t="n">
        <x:v>0</x:v>
      </x:c>
      <x:c r="AH7" s="43" t="n">
        <x:v>0</x:v>
      </x:c>
      <x:c r="AI7" s="43" t="n">
        <x:v>0</x:v>
      </x:c>
      <x:c r="AJ7" s="43" t="n">
        <x:v>0</x:v>
      </x:c>
      <x:c r="AK7" s="43" t="n">
        <x:v>0</x:v>
      </x:c>
      <x:c r="AL7" s="43" t="n">
        <x:v>0</x:v>
      </x:c>
      <x:c r="AM7" s="43" t="n">
        <x:v>0</x:v>
      </x:c>
      <x:c r="AN7" s="43" t="n">
        <x:v>0</x:v>
      </x:c>
      <x:c r="AO7" s="43" t="n">
        <x:v>0</x:v>
      </x:c>
      <x:c r="AP7" s="43" t="n">
        <x:v>0</x:v>
      </x:c>
      <x:c r="AQ7" s="43" t="n">
        <x:v>0</x:v>
      </x:c>
      <x:c r="AR7" s="43" t="n">
        <x:v>0</x:v>
      </x:c>
      <x:c r="AS7" s="43" t="n">
        <x:v>0</x:v>
      </x:c>
      <x:c r="AT7" s="43" t="n">
        <x:v>0</x:v>
      </x:c>
      <x:c r="AU7" s="43" t="n">
        <x:v>0</x:v>
      </x:c>
      <x:c r="AV7" s="43" t="n">
        <x:v>0</x:v>
      </x:c>
    </x:row>
    <x:row r="8">
      <x:c r="A8" s="42" t="str">
        <x:v>P7</x:v>
      </x:c>
      <x:c r="B8" s="42" t="n">
        <x:v>0</x:v>
      </x:c>
      <x:c r="C8" s="42" t="n">
        <x:v>0</x:v>
      </x:c>
      <x:c r="D8" s="42" t="n">
        <x:v>0</x:v>
      </x:c>
      <x:c r="E8" s="42" t="n">
        <x:v>1</x:v>
      </x:c>
      <x:c r="F8" s="42" t="n">
        <x:v>0</x:v>
      </x:c>
      <x:c r="G8" s="42" t="n">
        <x:v>0</x:v>
      </x:c>
      <x:c r="H8" s="42" t="n">
        <x:v>1</x:v>
      </x:c>
      <x:c r="I8" s="42" t="n">
        <x:v>0</x:v>
      </x:c>
      <x:c r="J8" s="42" t="n">
        <x:v>0</x:v>
      </x:c>
      <x:c r="K8" s="42" t="n">
        <x:v>0</x:v>
      </x:c>
      <x:c r="L8" s="42" t="n">
        <x:v>0</x:v>
      </x:c>
      <x:c r="M8" s="42" t="n">
        <x:v>1</x:v>
      </x:c>
      <x:c r="N8" s="42" t="n">
        <x:v>0</x:v>
      </x:c>
      <x:c r="O8" s="42" t="n">
        <x:v>0</x:v>
      </x:c>
      <x:c r="P8" s="42" t="n">
        <x:v>0</x:v>
      </x:c>
      <x:c r="Q8" s="42" t="n">
        <x:v>1</x:v>
      </x:c>
      <x:c r="R8" s="42" t="n">
        <x:v>0</x:v>
      </x:c>
      <x:c r="S8" s="42" t="n">
        <x:v>0</x:v>
      </x:c>
      <x:c r="T8" s="42" t="n">
        <x:v>0</x:v>
      </x:c>
      <x:c r="U8" s="42" t="n">
        <x:v>1</x:v>
      </x:c>
      <x:c r="V8" s="42" t="n">
        <x:v>0</x:v>
      </x:c>
      <x:c r="W8" s="42" t="n">
        <x:v>0</x:v>
      </x:c>
      <x:c r="X8" s="42" t="n">
        <x:v>0</x:v>
      </x:c>
      <x:c r="Y8" s="42" t="n">
        <x:v>1</x:v>
      </x:c>
      <x:c r="Z8" s="42" t="n">
        <x:v>1</x:v>
      </x:c>
      <x:c r="AA8" s="42" t="n">
        <x:v>0</x:v>
      </x:c>
      <x:c r="AB8" s="42" t="n">
        <x:v>0</x:v>
      </x:c>
      <x:c r="AC8" s="42" t="n">
        <x:v>0</x:v>
      </x:c>
      <x:c r="AD8" s="42" t="n">
        <x:v>0</x:v>
      </x:c>
      <x:c r="AE8" s="42" t="n">
        <x:v>1</x:v>
      </x:c>
      <x:c r="AF8" s="42" t="n">
        <x:v>0</x:v>
      </x:c>
      <x:c r="AG8" s="42" t="n">
        <x:v>1</x:v>
      </x:c>
      <x:c r="AH8" s="42" t="n">
        <x:v>0</x:v>
      </x:c>
      <x:c r="AI8" s="42" t="n">
        <x:v>0</x:v>
      </x:c>
      <x:c r="AJ8" s="42" t="n">
        <x:v>0</x:v>
      </x:c>
      <x:c r="AK8" s="42" t="n">
        <x:v>0</x:v>
      </x:c>
      <x:c r="AL8" s="42" t="n">
        <x:v>0</x:v>
      </x:c>
      <x:c r="AM8" s="42" t="n">
        <x:v>0</x:v>
      </x:c>
      <x:c r="AN8" s="42" t="n">
        <x:v>0</x:v>
      </x:c>
      <x:c r="AO8" s="42" t="n">
        <x:v>0</x:v>
      </x:c>
      <x:c r="AP8" s="42" t="n">
        <x:v>0</x:v>
      </x:c>
      <x:c r="AQ8" s="42" t="n">
        <x:v>0</x:v>
      </x:c>
      <x:c r="AR8" s="42" t="n">
        <x:v>0</x:v>
      </x:c>
      <x:c r="AS8" s="42" t="n">
        <x:v>0</x:v>
      </x:c>
      <x:c r="AT8" s="42" t="n">
        <x:v>0</x:v>
      </x:c>
      <x:c r="AU8" s="42" t="n">
        <x:v>0</x:v>
      </x:c>
      <x:c r="AV8" s="42" t="n">
        <x:v>0</x:v>
      </x:c>
    </x:row>
    <x:row r="9">
      <x:c r="A9" s="43" t="str">
        <x:v>P8</x:v>
      </x:c>
      <x:c r="B9" s="43" t="n">
        <x:v>3</x:v>
      </x:c>
      <x:c r="C9" s="43" t="n">
        <x:v>1</x:v>
      </x:c>
      <x:c r="D9" s="43" t="n">
        <x:v>1</x:v>
      </x:c>
      <x:c r="E9" s="43" t="n">
        <x:v>1</x:v>
      </x:c>
      <x:c r="F9" s="43" t="n">
        <x:v>0</x:v>
      </x:c>
      <x:c r="G9" s="43" t="n">
        <x:v>1</x:v>
      </x:c>
      <x:c r="H9" s="43" t="n">
        <x:v>1</x:v>
      </x:c>
      <x:c r="I9" s="43" t="n">
        <x:v>3</x:v>
      </x:c>
      <x:c r="J9" s="43" t="n">
        <x:v>0</x:v>
      </x:c>
      <x:c r="K9" s="43" t="n">
        <x:v>0</x:v>
      </x:c>
      <x:c r="L9" s="43" t="n">
        <x:v>1</x:v>
      </x:c>
      <x:c r="M9" s="43" t="n">
        <x:v>1</x:v>
      </x:c>
      <x:c r="N9" s="43" t="n">
        <x:v>1</x:v>
      </x:c>
      <x:c r="O9" s="43" t="n">
        <x:v>1</x:v>
      </x:c>
      <x:c r="P9" s="43" t="n">
        <x:v>3</x:v>
      </x:c>
      <x:c r="Q9" s="43" t="n">
        <x:v>1</x:v>
      </x:c>
      <x:c r="R9" s="43" t="n">
        <x:v>0</x:v>
      </x:c>
      <x:c r="S9" s="43" t="n">
        <x:v>3</x:v>
      </x:c>
      <x:c r="T9" s="43" t="n">
        <x:v>1</x:v>
      </x:c>
      <x:c r="U9" s="43" t="n">
        <x:v>3</x:v>
      </x:c>
      <x:c r="V9" s="43" t="n">
        <x:v>1</x:v>
      </x:c>
      <x:c r="W9" s="43" t="n">
        <x:v>2</x:v>
      </x:c>
      <x:c r="X9" s="43" t="n">
        <x:v>1</x:v>
      </x:c>
      <x:c r="Y9" s="43" t="n">
        <x:v>3</x:v>
      </x:c>
      <x:c r="Z9" s="43" t="n">
        <x:v>1</x:v>
      </x:c>
      <x:c r="AA9" s="43" t="n">
        <x:v>1</x:v>
      </x:c>
      <x:c r="AB9" s="43" t="n">
        <x:v>2</x:v>
      </x:c>
      <x:c r="AC9" s="43" t="n">
        <x:v>2</x:v>
      </x:c>
      <x:c r="AD9" s="43" t="n">
        <x:v>1</x:v>
      </x:c>
      <x:c r="AE9" s="43" t="n">
        <x:v>1</x:v>
      </x:c>
      <x:c r="AF9" s="43" t="n">
        <x:v>0</x:v>
      </x:c>
      <x:c r="AG9" s="43" t="n">
        <x:v>3</x:v>
      </x:c>
      <x:c r="AH9" s="43" t="n">
        <x:v>2</x:v>
      </x:c>
      <x:c r="AI9" s="43" t="n">
        <x:v>2</x:v>
      </x:c>
      <x:c r="AJ9" s="43" t="n">
        <x:v>1</x:v>
      </x:c>
      <x:c r="AK9" s="43" t="n">
        <x:v>2</x:v>
      </x:c>
      <x:c r="AL9" s="43" t="n">
        <x:v>1</x:v>
      </x:c>
      <x:c r="AM9" s="43" t="n">
        <x:v>3</x:v>
      </x:c>
      <x:c r="AN9" s="43" t="n">
        <x:v>3</x:v>
      </x:c>
      <x:c r="AO9" s="43" t="n">
        <x:v>1</x:v>
      </x:c>
      <x:c r="AP9" s="43" t="n">
        <x:v>2</x:v>
      </x:c>
      <x:c r="AQ9" s="43" t="n">
        <x:v>0</x:v>
      </x:c>
      <x:c r="AR9" s="43" t="n">
        <x:v>3</x:v>
      </x:c>
      <x:c r="AS9" s="43" t="n">
        <x:v>1</x:v>
      </x:c>
      <x:c r="AT9" s="43" t="n">
        <x:v>2</x:v>
      </x:c>
      <x:c r="AU9" s="43" t="n">
        <x:v>0</x:v>
      </x:c>
      <x:c r="AV9" s="43" t="n">
        <x:v>1</x:v>
      </x:c>
    </x:row>
    <x:row r="10">
      <x:c r="A10" s="42" t="str">
        <x:v>P9</x:v>
      </x:c>
      <x:c r="B10" s="42" t="n">
        <x:v>1</x:v>
      </x:c>
      <x:c r="C10" s="42" t="n">
        <x:v>1</x:v>
      </x:c>
      <x:c r="D10" s="42" t="n">
        <x:v>0</x:v>
      </x:c>
      <x:c r="E10" s="42" t="n">
        <x:v>1</x:v>
      </x:c>
      <x:c r="F10" s="42" t="n">
        <x:v>0</x:v>
      </x:c>
      <x:c r="G10" s="42" t="n">
        <x:v>0</x:v>
      </x:c>
      <x:c r="H10" s="42" t="n">
        <x:v>0</x:v>
      </x:c>
      <x:c r="I10" s="42" t="n">
        <x:v>0</x:v>
      </x:c>
      <x:c r="J10" s="42" t="n">
        <x:v>1</x:v>
      </x:c>
      <x:c r="K10" s="42" t="n">
        <x:v>1</x:v>
      </x:c>
      <x:c r="L10" s="42" t="n">
        <x:v>1</x:v>
      </x:c>
      <x:c r="M10" s="42" t="n">
        <x:v>1</x:v>
      </x:c>
      <x:c r="N10" s="42" t="n">
        <x:v>0</x:v>
      </x:c>
      <x:c r="O10" s="42" t="n">
        <x:v>0</x:v>
      </x:c>
      <x:c r="P10" s="42" t="n">
        <x:v>0</x:v>
      </x:c>
      <x:c r="Q10" s="42" t="n">
        <x:v>0</x:v>
      </x:c>
      <x:c r="R10" s="42" t="n">
        <x:v>0</x:v>
      </x:c>
      <x:c r="S10" s="42" t="n">
        <x:v>0</x:v>
      </x:c>
      <x:c r="T10" s="42" t="n">
        <x:v>1</x:v>
      </x:c>
      <x:c r="U10" s="42" t="n">
        <x:v>0</x:v>
      </x:c>
      <x:c r="V10" s="42" t="n">
        <x:v>0</x:v>
      </x:c>
      <x:c r="W10" s="42" t="n">
        <x:v>0</x:v>
      </x:c>
      <x:c r="X10" s="42" t="n">
        <x:v>0</x:v>
      </x:c>
      <x:c r="Y10" s="42" t="n">
        <x:v>1</x:v>
      </x:c>
      <x:c r="Z10" s="42" t="n">
        <x:v>2</x:v>
      </x:c>
      <x:c r="AA10" s="42" t="n">
        <x:v>0</x:v>
      </x:c>
      <x:c r="AB10" s="42" t="n">
        <x:v>0</x:v>
      </x:c>
      <x:c r="AC10" s="42" t="n">
        <x:v>0</x:v>
      </x:c>
      <x:c r="AD10" s="42" t="n">
        <x:v>0</x:v>
      </x:c>
      <x:c r="AE10" s="42" t="n">
        <x:v>1</x:v>
      </x:c>
      <x:c r="AF10" s="42" t="n">
        <x:v>0</x:v>
      </x:c>
      <x:c r="AG10" s="42" t="n">
        <x:v>1</x:v>
      </x:c>
      <x:c r="AH10" s="42" t="n">
        <x:v>0</x:v>
      </x:c>
      <x:c r="AI10" s="42" t="n">
        <x:v>1</x:v>
      </x:c>
      <x:c r="AJ10" s="42" t="n">
        <x:v>1</x:v>
      </x:c>
      <x:c r="AK10" s="42" t="n">
        <x:v>0</x:v>
      </x:c>
      <x:c r="AL10" s="42" t="n">
        <x:v>1</x:v>
      </x:c>
      <x:c r="AM10" s="42" t="n">
        <x:v>0</x:v>
      </x:c>
      <x:c r="AN10" s="42" t="n">
        <x:v>0</x:v>
      </x:c>
      <x:c r="AO10" s="42" t="n">
        <x:v>1</x:v>
      </x:c>
      <x:c r="AP10" s="42" t="n">
        <x:v>0</x:v>
      </x:c>
      <x:c r="AQ10" s="42" t="n">
        <x:v>0</x:v>
      </x:c>
      <x:c r="AR10" s="42" t="n">
        <x:v>0</x:v>
      </x:c>
      <x:c r="AS10" s="42" t="n">
        <x:v>0</x:v>
      </x:c>
      <x:c r="AT10" s="42" t="n">
        <x:v>0</x:v>
      </x:c>
      <x:c r="AU10" s="42" t="n">
        <x:v>0</x:v>
      </x:c>
      <x:c r="AV10" s="42" t="n">
        <x:v>1</x:v>
      </x:c>
    </x:row>
    <x:row r="11">
      <x:c r="A11" s="43" t="str">
        <x:v>P10</x:v>
      </x:c>
      <x:c r="B11" s="43" t="n">
        <x:v>1</x:v>
      </x:c>
      <x:c r="C11" s="43" t="n">
        <x:v>1</x:v>
      </x:c>
      <x:c r="D11" s="43" t="n">
        <x:v>1</x:v>
      </x:c>
      <x:c r="E11" s="43" t="n">
        <x:v>1</x:v>
      </x:c>
      <x:c r="F11" s="43" t="n">
        <x:v>0</x:v>
      </x:c>
      <x:c r="G11" s="43" t="n">
        <x:v>0</x:v>
      </x:c>
      <x:c r="H11" s="43" t="n">
        <x:v>0</x:v>
      </x:c>
      <x:c r="I11" s="43" t="n">
        <x:v>1</x:v>
      </x:c>
      <x:c r="J11" s="43" t="n">
        <x:v>2</x:v>
      </x:c>
      <x:c r="K11" s="43" t="n">
        <x:v>1</x:v>
      </x:c>
      <x:c r="L11" s="43" t="n">
        <x:v>1</x:v>
      </x:c>
      <x:c r="M11" s="43" t="n">
        <x:v>1</x:v>
      </x:c>
      <x:c r="N11" s="43" t="n">
        <x:v>0</x:v>
      </x:c>
      <x:c r="O11" s="43" t="n">
        <x:v>1</x:v>
      </x:c>
      <x:c r="P11" s="43" t="n">
        <x:v>0</x:v>
      </x:c>
      <x:c r="Q11" s="43" t="n">
        <x:v>1</x:v>
      </x:c>
      <x:c r="R11" s="43" t="n">
        <x:v>1</x:v>
      </x:c>
      <x:c r="S11" s="43" t="n">
        <x:v>1</x:v>
      </x:c>
      <x:c r="T11" s="43" t="n">
        <x:v>1</x:v>
      </x:c>
      <x:c r="U11" s="43" t="n">
        <x:v>2</x:v>
      </x:c>
      <x:c r="V11" s="43" t="n">
        <x:v>2</x:v>
      </x:c>
      <x:c r="W11" s="43" t="n">
        <x:v>1</x:v>
      </x:c>
      <x:c r="X11" s="43" t="n">
        <x:v>1</x:v>
      </x:c>
      <x:c r="Y11" s="43" t="n">
        <x:v>0</x:v>
      </x:c>
      <x:c r="Z11" s="43" t="n">
        <x:v>2</x:v>
      </x:c>
      <x:c r="AA11" s="43" t="n">
        <x:v>0</x:v>
      </x:c>
      <x:c r="AB11" s="43" t="n">
        <x:v>2</x:v>
      </x:c>
      <x:c r="AC11" s="43" t="n">
        <x:v>0</x:v>
      </x:c>
      <x:c r="AD11" s="43" t="n">
        <x:v>1</x:v>
      </x:c>
      <x:c r="AE11" s="43" t="n">
        <x:v>1</x:v>
      </x:c>
      <x:c r="AF11" s="43" t="n">
        <x:v>0</x:v>
      </x:c>
      <x:c r="AG11" s="43" t="n">
        <x:v>2</x:v>
      </x:c>
      <x:c r="AH11" s="43" t="n">
        <x:v>1</x:v>
      </x:c>
      <x:c r="AI11" s="43" t="n">
        <x:v>0</x:v>
      </x:c>
      <x:c r="AJ11" s="43" t="n">
        <x:v>1</x:v>
      </x:c>
      <x:c r="AK11" s="43" t="n">
        <x:v>0</x:v>
      </x:c>
      <x:c r="AL11" s="43" t="n">
        <x:v>1</x:v>
      </x:c>
      <x:c r="AM11" s="43" t="n">
        <x:v>2</x:v>
      </x:c>
      <x:c r="AN11" s="43" t="n">
        <x:v>0</x:v>
      </x:c>
      <x:c r="AO11" s="43" t="n">
        <x:v>1</x:v>
      </x:c>
      <x:c r="AP11" s="43" t="n">
        <x:v>0</x:v>
      </x:c>
      <x:c r="AQ11" s="43" t="n">
        <x:v>1</x:v>
      </x:c>
      <x:c r="AR11" s="43" t="n">
        <x:v>2</x:v>
      </x:c>
      <x:c r="AS11" s="43" t="n">
        <x:v>0</x:v>
      </x:c>
      <x:c r="AT11" s="43" t="n">
        <x:v>1</x:v>
      </x:c>
      <x:c r="AU11" s="43" t="n">
        <x:v>0</x:v>
      </x:c>
      <x:c r="AV11" s="43" t="n">
        <x:v>3</x:v>
      </x:c>
    </x:row>
    <x:row r="12">
      <x:c r="A12" s="42" t="str">
        <x:v>P11</x:v>
      </x:c>
      <x:c r="B12" s="42" t="n">
        <x:v>1</x:v>
      </x:c>
      <x:c r="C12" s="42" t="n">
        <x:v>1</x:v>
      </x:c>
      <x:c r="D12" s="42" t="n">
        <x:v>1</x:v>
      </x:c>
      <x:c r="E12" s="42" t="n">
        <x:v>2</x:v>
      </x:c>
      <x:c r="F12" s="42" t="n">
        <x:v>0</x:v>
      </x:c>
      <x:c r="G12" s="42" t="n">
        <x:v>1</x:v>
      </x:c>
      <x:c r="H12" s="42" t="n">
        <x:v>1</x:v>
      </x:c>
      <x:c r="I12" s="42" t="n">
        <x:v>0</x:v>
      </x:c>
      <x:c r="J12" s="42" t="n">
        <x:v>1</x:v>
      </x:c>
      <x:c r="K12" s="42" t="n">
        <x:v>1</x:v>
      </x:c>
      <x:c r="L12" s="42" t="n">
        <x:v>1</x:v>
      </x:c>
      <x:c r="M12" s="42" t="n">
        <x:v>1</x:v>
      </x:c>
      <x:c r="N12" s="42" t="n">
        <x:v>1</x:v>
      </x:c>
      <x:c r="O12" s="42" t="n">
        <x:v>0</x:v>
      </x:c>
      <x:c r="P12" s="42" t="n">
        <x:v>0</x:v>
      </x:c>
      <x:c r="Q12" s="42" t="n">
        <x:v>1</x:v>
      </x:c>
      <x:c r="R12" s="42" t="n">
        <x:v>0</x:v>
      </x:c>
      <x:c r="S12" s="42" t="n">
        <x:v>0</x:v>
      </x:c>
      <x:c r="T12" s="42" t="n">
        <x:v>1</x:v>
      </x:c>
      <x:c r="U12" s="42" t="n">
        <x:v>2</x:v>
      </x:c>
      <x:c r="V12" s="42" t="n">
        <x:v>1</x:v>
      </x:c>
      <x:c r="W12" s="42" t="n">
        <x:v>1</x:v>
      </x:c>
      <x:c r="X12" s="42" t="n">
        <x:v>1</x:v>
      </x:c>
      <x:c r="Y12" s="42" t="n">
        <x:v>0</x:v>
      </x:c>
      <x:c r="Z12" s="42" t="n">
        <x:v>1</x:v>
      </x:c>
      <x:c r="AA12" s="42" t="n">
        <x:v>0</x:v>
      </x:c>
      <x:c r="AB12" s="42" t="n">
        <x:v>1</x:v>
      </x:c>
      <x:c r="AC12" s="42" t="n">
        <x:v>0</x:v>
      </x:c>
      <x:c r="AD12" s="42" t="n">
        <x:v>2</x:v>
      </x:c>
      <x:c r="AE12" s="42" t="n">
        <x:v>3</x:v>
      </x:c>
      <x:c r="AF12" s="42" t="n">
        <x:v>2</x:v>
      </x:c>
      <x:c r="AG12" s="42" t="n">
        <x:v>1</x:v>
      </x:c>
      <x:c r="AH12" s="42" t="n">
        <x:v>1</x:v>
      </x:c>
      <x:c r="AI12" s="42" t="n">
        <x:v>0</x:v>
      </x:c>
      <x:c r="AJ12" s="42" t="n">
        <x:v>1</x:v>
      </x:c>
      <x:c r="AK12" s="42" t="n">
        <x:v>1</x:v>
      </x:c>
      <x:c r="AL12" s="42" t="n">
        <x:v>1</x:v>
      </x:c>
      <x:c r="AM12" s="42" t="n">
        <x:v>0</x:v>
      </x:c>
      <x:c r="AN12" s="42" t="n">
        <x:v>0</x:v>
      </x:c>
      <x:c r="AO12" s="42" t="n">
        <x:v>1</x:v>
      </x:c>
      <x:c r="AP12" s="42" t="n">
        <x:v>0</x:v>
      </x:c>
      <x:c r="AQ12" s="42" t="n">
        <x:v>2</x:v>
      </x:c>
      <x:c r="AR12" s="42" t="n">
        <x:v>1</x:v>
      </x:c>
      <x:c r="AS12" s="42" t="n">
        <x:v>1</x:v>
      </x:c>
      <x:c r="AT12" s="42" t="n">
        <x:v>0</x:v>
      </x:c>
      <x:c r="AU12" s="42" t="n">
        <x:v>0</x:v>
      </x:c>
      <x:c r="AV12" s="42" t="n">
        <x:v>1</x:v>
      </x:c>
    </x:row>
    <x:row r="13">
      <x:c r="A13" s="43" t="str">
        <x:v>P12</x:v>
      </x:c>
      <x:c r="B13" s="43" t="n">
        <x:v>1</x:v>
      </x:c>
      <x:c r="C13" s="43" t="n">
        <x:v>0</x:v>
      </x:c>
      <x:c r="D13" s="43" t="n">
        <x:v>0</x:v>
      </x:c>
      <x:c r="E13" s="43" t="n">
        <x:v>0</x:v>
      </x:c>
      <x:c r="F13" s="43" t="n">
        <x:v>0</x:v>
      </x:c>
      <x:c r="G13" s="43" t="n">
        <x:v>0</x:v>
      </x:c>
      <x:c r="H13" s="43" t="n">
        <x:v>0</x:v>
      </x:c>
      <x:c r="I13" s="43" t="n">
        <x:v>1</x:v>
      </x:c>
      <x:c r="J13" s="43" t="n">
        <x:v>1</x:v>
      </x:c>
      <x:c r="K13" s="43" t="n">
        <x:v>0</x:v>
      </x:c>
      <x:c r="L13" s="43" t="n">
        <x:v>0</x:v>
      </x:c>
      <x:c r="M13" s="43" t="n">
        <x:v>1</x:v>
      </x:c>
      <x:c r="N13" s="43" t="n">
        <x:v>0</x:v>
      </x:c>
      <x:c r="O13" s="43" t="n">
        <x:v>0</x:v>
      </x:c>
      <x:c r="P13" s="43" t="n">
        <x:v>0</x:v>
      </x:c>
      <x:c r="Q13" s="43" t="n">
        <x:v>0</x:v>
      </x:c>
      <x:c r="R13" s="43" t="n">
        <x:v>0</x:v>
      </x:c>
      <x:c r="S13" s="43" t="n">
        <x:v>0</x:v>
      </x:c>
      <x:c r="T13" s="43" t="n">
        <x:v>0</x:v>
      </x:c>
      <x:c r="U13" s="43" t="n">
        <x:v>0</x:v>
      </x:c>
      <x:c r="V13" s="43" t="n">
        <x:v>0</x:v>
      </x:c>
      <x:c r="W13" s="43" t="n">
        <x:v>0</x:v>
      </x:c>
      <x:c r="X13" s="43" t="n">
        <x:v>0</x:v>
      </x:c>
      <x:c r="Y13" s="43" t="n">
        <x:v>1</x:v>
      </x:c>
      <x:c r="Z13" s="43" t="n">
        <x:v>0</x:v>
      </x:c>
      <x:c r="AA13" s="43" t="n">
        <x:v>0</x:v>
      </x:c>
      <x:c r="AB13" s="43" t="n">
        <x:v>0</x:v>
      </x:c>
      <x:c r="AC13" s="43" t="n">
        <x:v>0</x:v>
      </x:c>
      <x:c r="AD13" s="43" t="n">
        <x:v>0</x:v>
      </x:c>
      <x:c r="AE13" s="43" t="n">
        <x:v>1</x:v>
      </x:c>
      <x:c r="AF13" s="43" t="n">
        <x:v>0</x:v>
      </x:c>
      <x:c r="AG13" s="43" t="n">
        <x:v>0</x:v>
      </x:c>
      <x:c r="AH13" s="43" t="n">
        <x:v>0</x:v>
      </x:c>
      <x:c r="AI13" s="43" t="n">
        <x:v>0</x:v>
      </x:c>
      <x:c r="AJ13" s="43" t="n">
        <x:v>0</x:v>
      </x:c>
      <x:c r="AK13" s="43" t="n">
        <x:v>0</x:v>
      </x:c>
      <x:c r="AL13" s="43" t="n">
        <x:v>0</x:v>
      </x:c>
      <x:c r="AM13" s="43" t="n">
        <x:v>1</x:v>
      </x:c>
      <x:c r="AN13" s="43" t="n">
        <x:v>0</x:v>
      </x:c>
      <x:c r="AO13" s="43" t="n">
        <x:v>0</x:v>
      </x:c>
      <x:c r="AP13" s="43" t="n">
        <x:v>0</x:v>
      </x:c>
      <x:c r="AQ13" s="43" t="n">
        <x:v>0</x:v>
      </x:c>
      <x:c r="AR13" s="43" t="n">
        <x:v>0</x:v>
      </x:c>
      <x:c r="AS13" s="43" t="n">
        <x:v>0</x:v>
      </x:c>
      <x:c r="AT13" s="43" t="n">
        <x:v>0</x:v>
      </x:c>
      <x:c r="AU13" s="43" t="n">
        <x:v>0</x:v>
      </x:c>
      <x:c r="AV13" s="43" t="n">
        <x:v>0</x:v>
      </x:c>
    </x:row>
    <x:row r="14">
      <x:c r="A14" s="42" t="str">
        <x:v>P13</x:v>
      </x:c>
      <x:c r="B14" s="42" t="n">
        <x:v>2</x:v>
      </x:c>
      <x:c r="C14" s="42" t="n">
        <x:v>1</x:v>
      </x:c>
      <x:c r="D14" s="42" t="n">
        <x:v>2</x:v>
      </x:c>
      <x:c r="E14" s="42" t="n">
        <x:v>2</x:v>
      </x:c>
      <x:c r="F14" s="42" t="n">
        <x:v>1</x:v>
      </x:c>
      <x:c r="G14" s="42" t="n">
        <x:v>1</x:v>
      </x:c>
      <x:c r="H14" s="42" t="n">
        <x:v>1</x:v>
      </x:c>
      <x:c r="I14" s="42" t="n">
        <x:v>3</x:v>
      </x:c>
      <x:c r="J14" s="42" t="n">
        <x:v>1</x:v>
      </x:c>
      <x:c r="K14" s="42" t="n">
        <x:v>1</x:v>
      </x:c>
      <x:c r="L14" s="42" t="n">
        <x:v>1</x:v>
      </x:c>
      <x:c r="M14" s="42" t="n">
        <x:v>2</x:v>
      </x:c>
      <x:c r="N14" s="42" t="n">
        <x:v>0</x:v>
      </x:c>
      <x:c r="O14" s="42" t="n">
        <x:v>1</x:v>
      </x:c>
      <x:c r="P14" s="42" t="n">
        <x:v>2</x:v>
      </x:c>
      <x:c r="Q14" s="42" t="n">
        <x:v>1</x:v>
      </x:c>
      <x:c r="R14" s="42" t="n">
        <x:v>0</x:v>
      </x:c>
      <x:c r="S14" s="42" t="n">
        <x:v>0</x:v>
      </x:c>
      <x:c r="T14" s="42" t="n">
        <x:v>1</x:v>
      </x:c>
      <x:c r="U14" s="42" t="n">
        <x:v>2</x:v>
      </x:c>
      <x:c r="V14" s="42" t="n">
        <x:v>1</x:v>
      </x:c>
      <x:c r="W14" s="42" t="n">
        <x:v>0</x:v>
      </x:c>
      <x:c r="X14" s="42" t="n">
        <x:v>0</x:v>
      </x:c>
      <x:c r="Y14" s="42" t="n">
        <x:v>1</x:v>
      </x:c>
      <x:c r="Z14" s="42" t="n">
        <x:v>1</x:v>
      </x:c>
      <x:c r="AA14" s="42" t="n">
        <x:v>1</x:v>
      </x:c>
      <x:c r="AB14" s="42" t="n">
        <x:v>0</x:v>
      </x:c>
      <x:c r="AC14" s="42" t="n">
        <x:v>2</x:v>
      </x:c>
      <x:c r="AD14" s="42" t="n">
        <x:v>1</x:v>
      </x:c>
      <x:c r="AE14" s="42" t="n">
        <x:v>3</x:v>
      </x:c>
      <x:c r="AF14" s="42" t="n">
        <x:v>0</x:v>
      </x:c>
      <x:c r="AG14" s="42" t="n">
        <x:v>3</x:v>
      </x:c>
      <x:c r="AH14" s="42" t="n">
        <x:v>1</x:v>
      </x:c>
      <x:c r="AI14" s="42" t="n">
        <x:v>0</x:v>
      </x:c>
      <x:c r="AJ14" s="42" t="n">
        <x:v>3</x:v>
      </x:c>
      <x:c r="AK14" s="42" t="n">
        <x:v>2</x:v>
      </x:c>
      <x:c r="AL14" s="42" t="n">
        <x:v>1</x:v>
      </x:c>
      <x:c r="AM14" s="42" t="n">
        <x:v>1</x:v>
      </x:c>
      <x:c r="AN14" s="42" t="n">
        <x:v>1</x:v>
      </x:c>
      <x:c r="AO14" s="42" t="n">
        <x:v>1</x:v>
      </x:c>
      <x:c r="AP14" s="42" t="n">
        <x:v>1</x:v>
      </x:c>
      <x:c r="AQ14" s="42" t="n">
        <x:v>2</x:v>
      </x:c>
      <x:c r="AR14" s="42" t="n">
        <x:v>2</x:v>
      </x:c>
      <x:c r="AS14" s="42" t="n">
        <x:v>0</x:v>
      </x:c>
      <x:c r="AT14" s="42" t="n">
        <x:v>1</x:v>
      </x:c>
      <x:c r="AU14" s="42" t="n">
        <x:v>1</x:v>
      </x:c>
      <x:c r="AV14" s="42" t="n">
        <x:v>1</x:v>
      </x:c>
    </x:row>
    <x:row r="15">
      <x:c r="A15" s="43" t="str">
        <x:v>P14</x:v>
      </x:c>
      <x:c r="B15" s="43" t="n">
        <x:v>1</x:v>
      </x:c>
      <x:c r="C15" s="43" t="n">
        <x:v>1</x:v>
      </x:c>
      <x:c r="D15" s="43" t="n">
        <x:v>0</x:v>
      </x:c>
      <x:c r="E15" s="43" t="n">
        <x:v>2</x:v>
      </x:c>
      <x:c r="F15" s="43" t="n">
        <x:v>1</x:v>
      </x:c>
      <x:c r="G15" s="43" t="n">
        <x:v>0</x:v>
      </x:c>
      <x:c r="H15" s="43" t="n">
        <x:v>1</x:v>
      </x:c>
      <x:c r="I15" s="43" t="n">
        <x:v>1</x:v>
      </x:c>
      <x:c r="J15" s="43" t="n">
        <x:v>1</x:v>
      </x:c>
      <x:c r="K15" s="43" t="n">
        <x:v>0</x:v>
      </x:c>
      <x:c r="L15" s="43" t="n">
        <x:v>1</x:v>
      </x:c>
      <x:c r="M15" s="43" t="n">
        <x:v>2</x:v>
      </x:c>
      <x:c r="N15" s="43" t="n">
        <x:v>1</x:v>
      </x:c>
      <x:c r="O15" s="43" t="n">
        <x:v>0</x:v>
      </x:c>
      <x:c r="P15" s="43" t="n">
        <x:v>0</x:v>
      </x:c>
      <x:c r="Q15" s="43" t="n">
        <x:v>0</x:v>
      </x:c>
      <x:c r="R15" s="43" t="n">
        <x:v>0</x:v>
      </x:c>
      <x:c r="S15" s="43" t="n">
        <x:v>0</x:v>
      </x:c>
      <x:c r="T15" s="43" t="n">
        <x:v>1</x:v>
      </x:c>
      <x:c r="U15" s="43" t="n">
        <x:v>0</x:v>
      </x:c>
      <x:c r="V15" s="43" t="n">
        <x:v>1</x:v>
      </x:c>
      <x:c r="W15" s="43" t="n">
        <x:v>1</x:v>
      </x:c>
      <x:c r="X15" s="43" t="n">
        <x:v>1</x:v>
      </x:c>
      <x:c r="Y15" s="43" t="n">
        <x:v>2</x:v>
      </x:c>
      <x:c r="Z15" s="43" t="n">
        <x:v>0</x:v>
      </x:c>
      <x:c r="AA15" s="43" t="n">
        <x:v>0</x:v>
      </x:c>
      <x:c r="AB15" s="43" t="n">
        <x:v>1</x:v>
      </x:c>
      <x:c r="AC15" s="43" t="n">
        <x:v>1</x:v>
      </x:c>
      <x:c r="AD15" s="43" t="n">
        <x:v>0</x:v>
      </x:c>
      <x:c r="AE15" s="43" t="n">
        <x:v>1</x:v>
      </x:c>
      <x:c r="AF15" s="43" t="n">
        <x:v>1</x:v>
      </x:c>
      <x:c r="AG15" s="43" t="n">
        <x:v>1</x:v>
      </x:c>
      <x:c r="AH15" s="43" t="n">
        <x:v>1</x:v>
      </x:c>
      <x:c r="AI15" s="43" t="n">
        <x:v>1</x:v>
      </x:c>
      <x:c r="AJ15" s="43" t="n">
        <x:v>1</x:v>
      </x:c>
      <x:c r="AK15" s="43" t="n">
        <x:v>0</x:v>
      </x:c>
      <x:c r="AL15" s="43" t="n">
        <x:v>0</x:v>
      </x:c>
      <x:c r="AM15" s="43" t="n">
        <x:v>1</x:v>
      </x:c>
      <x:c r="AN15" s="43" t="n">
        <x:v>1</x:v>
      </x:c>
      <x:c r="AO15" s="43" t="n">
        <x:v>0</x:v>
      </x:c>
      <x:c r="AP15" s="43" t="n">
        <x:v>0</x:v>
      </x:c>
      <x:c r="AQ15" s="43" t="n">
        <x:v>0</x:v>
      </x:c>
      <x:c r="AR15" s="43" t="n">
        <x:v>1</x:v>
      </x:c>
      <x:c r="AS15" s="43" t="n">
        <x:v>1</x:v>
      </x:c>
      <x:c r="AT15" s="43" t="n">
        <x:v>1</x:v>
      </x:c>
      <x:c r="AU15" s="43" t="n">
        <x:v>2</x:v>
      </x:c>
      <x:c r="AV15" s="43" t="n">
        <x:v>1</x:v>
      </x:c>
    </x:row>
    <x:row r="16">
      <x:c r="A16" s="42" t="str">
        <x:v>P15</x:v>
      </x:c>
      <x:c r="B16" s="42" t="n">
        <x:v>1</x:v>
      </x:c>
      <x:c r="C16" s="42" t="n">
        <x:v>1</x:v>
      </x:c>
      <x:c r="D16" s="42" t="n">
        <x:v>0</x:v>
      </x:c>
      <x:c r="E16" s="42" t="n">
        <x:v>1</x:v>
      </x:c>
      <x:c r="F16" s="42" t="n">
        <x:v>0</x:v>
      </x:c>
      <x:c r="G16" s="42" t="n">
        <x:v>0</x:v>
      </x:c>
      <x:c r="H16" s="42" t="n">
        <x:v>0</x:v>
      </x:c>
      <x:c r="I16" s="42" t="n">
        <x:v>1</x:v>
      </x:c>
      <x:c r="J16" s="42" t="n">
        <x:v>0</x:v>
      </x:c>
      <x:c r="K16" s="42" t="n">
        <x:v>1</x:v>
      </x:c>
      <x:c r="L16" s="42" t="n">
        <x:v>0</x:v>
      </x:c>
      <x:c r="M16" s="42" t="n">
        <x:v>1</x:v>
      </x:c>
      <x:c r="N16" s="42" t="n">
        <x:v>0</x:v>
      </x:c>
      <x:c r="O16" s="42" t="n">
        <x:v>0</x:v>
      </x:c>
      <x:c r="P16" s="42" t="n">
        <x:v>0</x:v>
      </x:c>
      <x:c r="Q16" s="42" t="n">
        <x:v>0</x:v>
      </x:c>
      <x:c r="R16" s="42" t="n">
        <x:v>0</x:v>
      </x:c>
      <x:c r="S16" s="42" t="n">
        <x:v>0</x:v>
      </x:c>
      <x:c r="T16" s="42" t="n">
        <x:v>1</x:v>
      </x:c>
      <x:c r="U16" s="42" t="n">
        <x:v>1</x:v>
      </x:c>
      <x:c r="V16" s="42" t="n">
        <x:v>1</x:v>
      </x:c>
      <x:c r="W16" s="42" t="n">
        <x:v>1</x:v>
      </x:c>
      <x:c r="X16" s="42" t="n">
        <x:v>1</x:v>
      </x:c>
      <x:c r="Y16" s="42" t="n">
        <x:v>0</x:v>
      </x:c>
      <x:c r="Z16" s="42" t="n">
        <x:v>0</x:v>
      </x:c>
      <x:c r="AA16" s="42" t="n">
        <x:v>0</x:v>
      </x:c>
      <x:c r="AB16" s="42" t="n">
        <x:v>0</x:v>
      </x:c>
      <x:c r="AC16" s="42" t="n">
        <x:v>1</x:v>
      </x:c>
      <x:c r="AD16" s="42" t="n">
        <x:v>0</x:v>
      </x:c>
      <x:c r="AE16" s="42" t="n">
        <x:v>1</x:v>
      </x:c>
      <x:c r="AF16" s="42" t="n">
        <x:v>0</x:v>
      </x:c>
      <x:c r="AG16" s="42" t="n">
        <x:v>1</x:v>
      </x:c>
      <x:c r="AH16" s="42" t="n">
        <x:v>1</x:v>
      </x:c>
      <x:c r="AI16" s="42" t="n">
        <x:v>1</x:v>
      </x:c>
      <x:c r="AJ16" s="42" t="n">
        <x:v>1</x:v>
      </x:c>
      <x:c r="AK16" s="42" t="n">
        <x:v>0</x:v>
      </x:c>
      <x:c r="AL16" s="42" t="n">
        <x:v>1</x:v>
      </x:c>
      <x:c r="AM16" s="42" t="n">
        <x:v>2</x:v>
      </x:c>
      <x:c r="AN16" s="42" t="n">
        <x:v>1</x:v>
      </x:c>
      <x:c r="AO16" s="42" t="n">
        <x:v>0</x:v>
      </x:c>
      <x:c r="AP16" s="42" t="n">
        <x:v>0</x:v>
      </x:c>
      <x:c r="AQ16" s="42" t="n">
        <x:v>0</x:v>
      </x:c>
      <x:c r="AR16" s="42" t="n">
        <x:v>1</x:v>
      </x:c>
      <x:c r="AS16" s="42" t="n">
        <x:v>0</x:v>
      </x:c>
      <x:c r="AT16" s="42" t="n">
        <x:v>0</x:v>
      </x:c>
      <x:c r="AU16" s="42" t="n">
        <x:v>0</x:v>
      </x:c>
      <x:c r="AV16" s="42" t="n">
        <x:v>0</x:v>
      </x:c>
    </x:row>
    <x:row r="17">
      <x:c r="A17" s="43" t="str">
        <x:v>P16</x:v>
      </x:c>
      <x:c r="B17" s="43" t="n">
        <x:v>1</x:v>
      </x:c>
      <x:c r="C17" s="43" t="n">
        <x:v>0</x:v>
      </x:c>
      <x:c r="D17" s="43" t="n">
        <x:v>0</x:v>
      </x:c>
      <x:c r="E17" s="43" t="n">
        <x:v>1</x:v>
      </x:c>
      <x:c r="F17" s="43" t="n">
        <x:v>0</x:v>
      </x:c>
      <x:c r="G17" s="43" t="n">
        <x:v>2</x:v>
      </x:c>
      <x:c r="H17" s="43" t="n">
        <x:v>3</x:v>
      </x:c>
      <x:c r="I17" s="43" t="n">
        <x:v>0</x:v>
      </x:c>
      <x:c r="J17" s="43" t="n">
        <x:v>0</x:v>
      </x:c>
      <x:c r="K17" s="43" t="n">
        <x:v>0</x:v>
      </x:c>
      <x:c r="L17" s="43" t="n">
        <x:v>1</x:v>
      </x:c>
      <x:c r="M17" s="43" t="n">
        <x:v>3</x:v>
      </x:c>
      <x:c r="N17" s="43" t="n">
        <x:v>3</x:v>
      </x:c>
      <x:c r="O17" s="43" t="n">
        <x:v>0</x:v>
      </x:c>
      <x:c r="P17" s="43" t="n">
        <x:v>0</x:v>
      </x:c>
      <x:c r="Q17" s="43" t="n">
        <x:v>0</x:v>
      </x:c>
      <x:c r="R17" s="43" t="n">
        <x:v>0</x:v>
      </x:c>
      <x:c r="S17" s="43" t="n">
        <x:v>0</x:v>
      </x:c>
      <x:c r="T17" s="43" t="n">
        <x:v>0</x:v>
      </x:c>
      <x:c r="U17" s="43" t="n">
        <x:v>3</x:v>
      </x:c>
      <x:c r="V17" s="43" t="n">
        <x:v>0</x:v>
      </x:c>
      <x:c r="W17" s="43" t="n">
        <x:v>3</x:v>
      </x:c>
      <x:c r="X17" s="43" t="n">
        <x:v>0</x:v>
      </x:c>
      <x:c r="Y17" s="43" t="n">
        <x:v>0</x:v>
      </x:c>
      <x:c r="Z17" s="43" t="n">
        <x:v>0</x:v>
      </x:c>
      <x:c r="AA17" s="43" t="n">
        <x:v>0</x:v>
      </x:c>
      <x:c r="AB17" s="43" t="n">
        <x:v>3</x:v>
      </x:c>
      <x:c r="AC17" s="43" t="n">
        <x:v>0</x:v>
      </x:c>
      <x:c r="AD17" s="43" t="n">
        <x:v>0</x:v>
      </x:c>
      <x:c r="AE17" s="43" t="n">
        <x:v>1</x:v>
      </x:c>
      <x:c r="AF17" s="43" t="n">
        <x:v>0</x:v>
      </x:c>
      <x:c r="AG17" s="43" t="n">
        <x:v>0</x:v>
      </x:c>
      <x:c r="AH17" s="43" t="n">
        <x:v>3</x:v>
      </x:c>
      <x:c r="AI17" s="43" t="n">
        <x:v>0</x:v>
      </x:c>
      <x:c r="AJ17" s="43" t="n">
        <x:v>2</x:v>
      </x:c>
      <x:c r="AK17" s="43" t="n">
        <x:v>0</x:v>
      </x:c>
      <x:c r="AL17" s="43" t="n">
        <x:v>3</x:v>
      </x:c>
      <x:c r="AM17" s="43" t="n">
        <x:v>2</x:v>
      </x:c>
      <x:c r="AN17" s="43" t="n">
        <x:v>0</x:v>
      </x:c>
      <x:c r="AO17" s="43" t="n">
        <x:v>1</x:v>
      </x:c>
      <x:c r="AP17" s="43" t="n">
        <x:v>0</x:v>
      </x:c>
      <x:c r="AQ17" s="43" t="n">
        <x:v>3</x:v>
      </x:c>
      <x:c r="AR17" s="43" t="n">
        <x:v>2</x:v>
      </x:c>
      <x:c r="AS17" s="43" t="n">
        <x:v>0</x:v>
      </x:c>
      <x:c r="AT17" s="43" t="n">
        <x:v>0</x:v>
      </x:c>
      <x:c r="AU17" s="43" t="n">
        <x:v>0</x:v>
      </x:c>
      <x:c r="AV17" s="43" t="n">
        <x:v>0</x:v>
      </x:c>
    </x:row>
    <x:row r="18">
      <x:c r="A18" s="42" t="str">
        <x:v>P17</x:v>
      </x:c>
      <x:c r="B18" s="42" t="n">
        <x:v>1</x:v>
      </x:c>
      <x:c r="C18" s="42" t="n">
        <x:v>1</x:v>
      </x:c>
      <x:c r="D18" s="42" t="n">
        <x:v>1</x:v>
      </x:c>
      <x:c r="E18" s="42" t="n">
        <x:v>1</x:v>
      </x:c>
      <x:c r="F18" s="42" t="n">
        <x:v>0</x:v>
      </x:c>
      <x:c r="G18" s="42" t="n">
        <x:v>0</x:v>
      </x:c>
      <x:c r="H18" s="42" t="n">
        <x:v>1</x:v>
      </x:c>
      <x:c r="I18" s="42" t="n">
        <x:v>1</x:v>
      </x:c>
      <x:c r="J18" s="42" t="n">
        <x:v>0</x:v>
      </x:c>
      <x:c r="K18" s="42" t="n">
        <x:v>1</x:v>
      </x:c>
      <x:c r="L18" s="42" t="n">
        <x:v>1</x:v>
      </x:c>
      <x:c r="M18" s="42" t="n">
        <x:v>0</x:v>
      </x:c>
      <x:c r="N18" s="42" t="n">
        <x:v>1</x:v>
      </x:c>
      <x:c r="O18" s="42" t="n">
        <x:v>0</x:v>
      </x:c>
      <x:c r="P18" s="42" t="n">
        <x:v>1</x:v>
      </x:c>
      <x:c r="Q18" s="42" t="n">
        <x:v>1</x:v>
      </x:c>
      <x:c r="R18" s="42" t="n">
        <x:v>0</x:v>
      </x:c>
      <x:c r="S18" s="42" t="n">
        <x:v>0</x:v>
      </x:c>
      <x:c r="T18" s="42" t="n">
        <x:v>1</x:v>
      </x:c>
      <x:c r="U18" s="42" t="n">
        <x:v>1</x:v>
      </x:c>
      <x:c r="V18" s="42" t="n">
        <x:v>0</x:v>
      </x:c>
      <x:c r="W18" s="42" t="n">
        <x:v>0</x:v>
      </x:c>
      <x:c r="X18" s="42" t="n">
        <x:v>0</x:v>
      </x:c>
      <x:c r="Y18" s="42" t="n">
        <x:v>0</x:v>
      </x:c>
      <x:c r="Z18" s="42" t="n">
        <x:v>1</x:v>
      </x:c>
      <x:c r="AA18" s="42" t="n">
        <x:v>0</x:v>
      </x:c>
      <x:c r="AB18" s="42" t="n">
        <x:v>0</x:v>
      </x:c>
      <x:c r="AC18" s="42" t="n">
        <x:v>0</x:v>
      </x:c>
      <x:c r="AD18" s="42" t="n">
        <x:v>0</x:v>
      </x:c>
      <x:c r="AE18" s="42" t="n">
        <x:v>1</x:v>
      </x:c>
      <x:c r="AF18" s="42" t="n">
        <x:v>0</x:v>
      </x:c>
      <x:c r="AG18" s="42" t="n">
        <x:v>1</x:v>
      </x:c>
      <x:c r="AH18" s="42" t="n">
        <x:v>1</x:v>
      </x:c>
      <x:c r="AI18" s="42" t="n">
        <x:v>0</x:v>
      </x:c>
      <x:c r="AJ18" s="42" t="n">
        <x:v>1</x:v>
      </x:c>
      <x:c r="AK18" s="42" t="n">
        <x:v>0</x:v>
      </x:c>
      <x:c r="AL18" s="42" t="n">
        <x:v>1</x:v>
      </x:c>
      <x:c r="AM18" s="42" t="n">
        <x:v>0</x:v>
      </x:c>
      <x:c r="AN18" s="42" t="n">
        <x:v>0</x:v>
      </x:c>
      <x:c r="AO18" s="42" t="n">
        <x:v>1</x:v>
      </x:c>
      <x:c r="AP18" s="42" t="n">
        <x:v>0</x:v>
      </x:c>
      <x:c r="AQ18" s="42" t="n">
        <x:v>0</x:v>
      </x:c>
      <x:c r="AR18" s="42" t="n">
        <x:v>1</x:v>
      </x:c>
      <x:c r="AS18" s="42" t="n">
        <x:v>0</x:v>
      </x:c>
      <x:c r="AT18" s="42" t="n">
        <x:v>1</x:v>
      </x:c>
      <x:c r="AU18" s="42" t="n">
        <x:v>1</x:v>
      </x:c>
      <x:c r="AV18" s="42" t="n">
        <x:v>1</x:v>
      </x:c>
    </x:row>
    <x:row r="19">
      <x:c r="A19" s="43" t="str">
        <x:v>P18</x:v>
      </x:c>
      <x:c r="B19" s="43" t="n">
        <x:v>1</x:v>
      </x:c>
      <x:c r="C19" s="43" t="n">
        <x:v>1</x:v>
      </x:c>
      <x:c r="D19" s="43" t="n">
        <x:v>3</x:v>
      </x:c>
      <x:c r="E19" s="43" t="n">
        <x:v>1</x:v>
      </x:c>
      <x:c r="F19" s="43" t="n">
        <x:v>0</x:v>
      </x:c>
      <x:c r="G19" s="43" t="n">
        <x:v>0</x:v>
      </x:c>
      <x:c r="H19" s="43" t="n">
        <x:v>2</x:v>
      </x:c>
      <x:c r="I19" s="43" t="n">
        <x:v>3</x:v>
      </x:c>
      <x:c r="J19" s="43" t="n">
        <x:v>0</x:v>
      </x:c>
      <x:c r="K19" s="43" t="n">
        <x:v>0</x:v>
      </x:c>
      <x:c r="L19" s="43" t="n">
        <x:v>2</x:v>
      </x:c>
      <x:c r="M19" s="43" t="n">
        <x:v>2</x:v>
      </x:c>
      <x:c r="N19" s="43" t="n">
        <x:v>1</x:v>
      </x:c>
      <x:c r="O19" s="43" t="n">
        <x:v>0</x:v>
      </x:c>
      <x:c r="P19" s="43" t="n">
        <x:v>1</x:v>
      </x:c>
      <x:c r="Q19" s="43" t="n">
        <x:v>0</x:v>
      </x:c>
      <x:c r="R19" s="43" t="n">
        <x:v>0</x:v>
      </x:c>
      <x:c r="S19" s="43" t="n">
        <x:v>1</x:v>
      </x:c>
      <x:c r="T19" s="43" t="n">
        <x:v>0</x:v>
      </x:c>
      <x:c r="U19" s="43" t="n">
        <x:v>2</x:v>
      </x:c>
      <x:c r="V19" s="43" t="n">
        <x:v>1</x:v>
      </x:c>
      <x:c r="W19" s="43" t="n">
        <x:v>1</x:v>
      </x:c>
      <x:c r="X19" s="43" t="n">
        <x:v>0</x:v>
      </x:c>
      <x:c r="Y19" s="43" t="n">
        <x:v>1</x:v>
      </x:c>
      <x:c r="Z19" s="43" t="n">
        <x:v>1</x:v>
      </x:c>
      <x:c r="AA19" s="43" t="n">
        <x:v>0</x:v>
      </x:c>
      <x:c r="AB19" s="43" t="n">
        <x:v>1</x:v>
      </x:c>
      <x:c r="AC19" s="43" t="n">
        <x:v>1</x:v>
      </x:c>
      <x:c r="AD19" s="43" t="n">
        <x:v>0</x:v>
      </x:c>
      <x:c r="AE19" s="43" t="n">
        <x:v>2</x:v>
      </x:c>
      <x:c r="AF19" s="43" t="n">
        <x:v>0</x:v>
      </x:c>
      <x:c r="AG19" s="43" t="n">
        <x:v>2</x:v>
      </x:c>
      <x:c r="AH19" s="43" t="n">
        <x:v>1</x:v>
      </x:c>
      <x:c r="AI19" s="43" t="n">
        <x:v>0</x:v>
      </x:c>
      <x:c r="AJ19" s="43" t="n">
        <x:v>2</x:v>
      </x:c>
      <x:c r="AK19" s="43" t="n">
        <x:v>0</x:v>
      </x:c>
      <x:c r="AL19" s="43" t="n">
        <x:v>0</x:v>
      </x:c>
      <x:c r="AM19" s="43" t="n">
        <x:v>1</x:v>
      </x:c>
      <x:c r="AN19" s="43" t="n">
        <x:v>0</x:v>
      </x:c>
      <x:c r="AO19" s="43" t="n">
        <x:v>1</x:v>
      </x:c>
      <x:c r="AP19" s="43" t="n">
        <x:v>0</x:v>
      </x:c>
      <x:c r="AQ19" s="43" t="n">
        <x:v>1</x:v>
      </x:c>
      <x:c r="AR19" s="43" t="n">
        <x:v>2</x:v>
      </x:c>
      <x:c r="AS19" s="43" t="n">
        <x:v>0</x:v>
      </x:c>
      <x:c r="AT19" s="43" t="n">
        <x:v>1</x:v>
      </x:c>
      <x:c r="AU19" s="43" t="n">
        <x:v>0</x:v>
      </x:c>
      <x:c r="AV19" s="43" t="n">
        <x:v>0</x:v>
      </x:c>
    </x:row>
    <x:row r="20">
      <x:c r="A20" s="42" t="str">
        <x:v>P19</x:v>
      </x:c>
      <x:c r="B20" s="42" t="n">
        <x:v>1</x:v>
      </x:c>
      <x:c r="C20" s="42" t="n">
        <x:v>1</x:v>
      </x:c>
      <x:c r="D20" s="42" t="n">
        <x:v>1</x:v>
      </x:c>
      <x:c r="E20" s="42" t="n">
        <x:v>2</x:v>
      </x:c>
      <x:c r="F20" s="42" t="n">
        <x:v>0</x:v>
      </x:c>
      <x:c r="G20" s="42" t="n">
        <x:v>1</x:v>
      </x:c>
      <x:c r="H20" s="42" t="n">
        <x:v>1</x:v>
      </x:c>
      <x:c r="I20" s="42" t="n">
        <x:v>1</x:v>
      </x:c>
      <x:c r="J20" s="42" t="n">
        <x:v>0</x:v>
      </x:c>
      <x:c r="K20" s="42" t="n">
        <x:v>0</x:v>
      </x:c>
      <x:c r="L20" s="42" t="n">
        <x:v>2</x:v>
      </x:c>
      <x:c r="M20" s="42" t="n">
        <x:v>1</x:v>
      </x:c>
      <x:c r="N20" s="42" t="n">
        <x:v>0</x:v>
      </x:c>
      <x:c r="O20" s="42" t="n">
        <x:v>1</x:v>
      </x:c>
      <x:c r="P20" s="42" t="n">
        <x:v>1</x:v>
      </x:c>
      <x:c r="Q20" s="42" t="n">
        <x:v>1</x:v>
      </x:c>
      <x:c r="R20" s="42" t="n">
        <x:v>0</x:v>
      </x:c>
      <x:c r="S20" s="42" t="n">
        <x:v>0</x:v>
      </x:c>
      <x:c r="T20" s="42" t="n">
        <x:v>2</x:v>
      </x:c>
      <x:c r="U20" s="42" t="n">
        <x:v>1</x:v>
      </x:c>
      <x:c r="V20" s="42" t="n">
        <x:v>2</x:v>
      </x:c>
      <x:c r="W20" s="42" t="n">
        <x:v>0</x:v>
      </x:c>
      <x:c r="X20" s="42" t="n">
        <x:v>0</x:v>
      </x:c>
      <x:c r="Y20" s="42" t="n">
        <x:v>1</x:v>
      </x:c>
      <x:c r="Z20" s="42" t="n">
        <x:v>1</x:v>
      </x:c>
      <x:c r="AA20" s="42" t="n">
        <x:v>1</x:v>
      </x:c>
      <x:c r="AB20" s="42" t="n">
        <x:v>0</x:v>
      </x:c>
      <x:c r="AC20" s="42" t="n">
        <x:v>1</x:v>
      </x:c>
      <x:c r="AD20" s="42" t="n">
        <x:v>0</x:v>
      </x:c>
      <x:c r="AE20" s="42" t="n">
        <x:v>1</x:v>
      </x:c>
      <x:c r="AF20" s="42" t="n">
        <x:v>0</x:v>
      </x:c>
      <x:c r="AG20" s="42" t="n">
        <x:v>2</x:v>
      </x:c>
      <x:c r="AH20" s="42" t="n">
        <x:v>0</x:v>
      </x:c>
      <x:c r="AI20" s="42" t="n">
        <x:v>0</x:v>
      </x:c>
      <x:c r="AJ20" s="42" t="n">
        <x:v>1</x:v>
      </x:c>
      <x:c r="AK20" s="42" t="n">
        <x:v>0</x:v>
      </x:c>
      <x:c r="AL20" s="42" t="n">
        <x:v>1</x:v>
      </x:c>
      <x:c r="AM20" s="42" t="n">
        <x:v>1</x:v>
      </x:c>
      <x:c r="AN20" s="42" t="n">
        <x:v>0</x:v>
      </x:c>
      <x:c r="AO20" s="42" t="n">
        <x:v>1</x:v>
      </x:c>
      <x:c r="AP20" s="42" t="n">
        <x:v>1</x:v>
      </x:c>
      <x:c r="AQ20" s="42" t="n">
        <x:v>0</x:v>
      </x:c>
      <x:c r="AR20" s="42" t="n">
        <x:v>1</x:v>
      </x:c>
      <x:c r="AS20" s="42" t="n">
        <x:v>0</x:v>
      </x:c>
      <x:c r="AT20" s="42" t="n">
        <x:v>1</x:v>
      </x:c>
      <x:c r="AU20" s="42" t="n">
        <x:v>0</x:v>
      </x:c>
      <x:c r="AV20" s="42" t="n">
        <x:v>0</x:v>
      </x:c>
    </x:row>
    <x:row r="21">
      <x:c r="A21" s="43" t="str">
        <x:v>P20</x:v>
      </x:c>
      <x:c r="B21" s="43" t="n">
        <x:v>1</x:v>
      </x:c>
      <x:c r="C21" s="43" t="n">
        <x:v>0</x:v>
      </x:c>
      <x:c r="D21" s="43" t="n">
        <x:v>0</x:v>
      </x:c>
      <x:c r="E21" s="43" t="n">
        <x:v>0</x:v>
      </x:c>
      <x:c r="F21" s="43" t="n">
        <x:v>0</x:v>
      </x:c>
      <x:c r="G21" s="43" t="n">
        <x:v>0</x:v>
      </x:c>
      <x:c r="H21" s="43" t="n">
        <x:v>0</x:v>
      </x:c>
      <x:c r="I21" s="43" t="n">
        <x:v>0</x:v>
      </x:c>
      <x:c r="J21" s="43" t="n">
        <x:v>0</x:v>
      </x:c>
      <x:c r="K21" s="43" t="n">
        <x:v>0</x:v>
      </x:c>
      <x:c r="L21" s="43" t="n">
        <x:v>2</x:v>
      </x:c>
      <x:c r="M21" s="43" t="n">
        <x:v>0</x:v>
      </x:c>
      <x:c r="N21" s="43" t="n">
        <x:v>0</x:v>
      </x:c>
      <x:c r="O21" s="43" t="n">
        <x:v>0</x:v>
      </x:c>
      <x:c r="P21" s="43" t="n">
        <x:v>1</x:v>
      </x:c>
      <x:c r="Q21" s="43" t="n">
        <x:v>0</x:v>
      </x:c>
      <x:c r="R21" s="43" t="n">
        <x:v>0</x:v>
      </x:c>
      <x:c r="S21" s="43" t="n">
        <x:v>0</x:v>
      </x:c>
      <x:c r="T21" s="43" t="n">
        <x:v>1</x:v>
      </x:c>
      <x:c r="U21" s="43" t="n">
        <x:v>0</x:v>
      </x:c>
      <x:c r="V21" s="43" t="n">
        <x:v>1</x:v>
      </x:c>
      <x:c r="W21" s="43" t="n">
        <x:v>0</x:v>
      </x:c>
      <x:c r="X21" s="43" t="n">
        <x:v>0</x:v>
      </x:c>
      <x:c r="Y21" s="43" t="n">
        <x:v>0</x:v>
      </x:c>
      <x:c r="Z21" s="43" t="n">
        <x:v>1</x:v>
      </x:c>
      <x:c r="AA21" s="43" t="n">
        <x:v>0</x:v>
      </x:c>
      <x:c r="AB21" s="43" t="n">
        <x:v>0</x:v>
      </x:c>
      <x:c r="AC21" s="43" t="n">
        <x:v>0</x:v>
      </x:c>
      <x:c r="AD21" s="43" t="n">
        <x:v>0</x:v>
      </x:c>
      <x:c r="AE21" s="43" t="n">
        <x:v>1</x:v>
      </x:c>
      <x:c r="AF21" s="43" t="n">
        <x:v>0</x:v>
      </x:c>
      <x:c r="AG21" s="43" t="n">
        <x:v>1</x:v>
      </x:c>
      <x:c r="AH21" s="43" t="n">
        <x:v>0</x:v>
      </x:c>
      <x:c r="AI21" s="43" t="n">
        <x:v>0</x:v>
      </x:c>
      <x:c r="AJ21" s="43" t="n">
        <x:v>1</x:v>
      </x:c>
      <x:c r="AK21" s="43" t="n">
        <x:v>0</x:v>
      </x:c>
      <x:c r="AL21" s="43" t="n">
        <x:v>0</x:v>
      </x:c>
      <x:c r="AM21" s="43" t="n">
        <x:v>1</x:v>
      </x:c>
      <x:c r="AN21" s="43" t="n">
        <x:v>0</x:v>
      </x:c>
      <x:c r="AO21" s="43" t="n">
        <x:v>0</x:v>
      </x:c>
      <x:c r="AP21" s="43" t="n">
        <x:v>0</x:v>
      </x:c>
      <x:c r="AQ21" s="43" t="n">
        <x:v>0</x:v>
      </x:c>
      <x:c r="AR21" s="43" t="n">
        <x:v>0</x:v>
      </x:c>
      <x:c r="AS21" s="43" t="n">
        <x:v>0</x:v>
      </x:c>
      <x:c r="AT21" s="43" t="n">
        <x:v>0</x:v>
      </x:c>
      <x:c r="AU21" s="43" t="n">
        <x:v>0</x:v>
      </x:c>
      <x:c r="AV21" s="43" t="n">
        <x:v>1</x:v>
      </x:c>
    </x:row>
    <x:row r="22">
      <x:c r="A22" s="42" t="str">
        <x:v>P21</x:v>
      </x:c>
      <x:c r="B22" s="42" t="n">
        <x:v>1</x:v>
      </x:c>
      <x:c r="C22" s="42" t="n">
        <x:v>0</x:v>
      </x:c>
      <x:c r="D22" s="42" t="n">
        <x:v>1</x:v>
      </x:c>
      <x:c r="E22" s="42" t="n">
        <x:v>3</x:v>
      </x:c>
      <x:c r="F22" s="42" t="n">
        <x:v>0</x:v>
      </x:c>
      <x:c r="G22" s="42" t="n">
        <x:v>0</x:v>
      </x:c>
      <x:c r="H22" s="42" t="n">
        <x:v>1</x:v>
      </x:c>
      <x:c r="I22" s="42" t="n">
        <x:v>1</x:v>
      </x:c>
      <x:c r="J22" s="42" t="n">
        <x:v>0</x:v>
      </x:c>
      <x:c r="K22" s="42" t="n">
        <x:v>0</x:v>
      </x:c>
      <x:c r="L22" s="42" t="n">
        <x:v>0</x:v>
      </x:c>
      <x:c r="M22" s="42" t="n">
        <x:v>2</x:v>
      </x:c>
      <x:c r="N22" s="42" t="n">
        <x:v>0</x:v>
      </x:c>
      <x:c r="O22" s="42" t="n">
        <x:v>0</x:v>
      </x:c>
      <x:c r="P22" s="42" t="n">
        <x:v>0</x:v>
      </x:c>
      <x:c r="Q22" s="42" t="n">
        <x:v>1</x:v>
      </x:c>
      <x:c r="R22" s="42" t="n">
        <x:v>0</x:v>
      </x:c>
      <x:c r="S22" s="42" t="n">
        <x:v>0</x:v>
      </x:c>
      <x:c r="T22" s="42" t="n">
        <x:v>0</x:v>
      </x:c>
      <x:c r="U22" s="42" t="n">
        <x:v>1</x:v>
      </x:c>
      <x:c r="V22" s="42" t="n">
        <x:v>0</x:v>
      </x:c>
      <x:c r="W22" s="42" t="n">
        <x:v>0</x:v>
      </x:c>
      <x:c r="X22" s="42" t="n">
        <x:v>1</x:v>
      </x:c>
      <x:c r="Y22" s="42" t="n">
        <x:v>0</x:v>
      </x:c>
      <x:c r="Z22" s="42" t="n">
        <x:v>0</x:v>
      </x:c>
      <x:c r="AA22" s="42" t="n">
        <x:v>0</x:v>
      </x:c>
      <x:c r="AB22" s="42" t="n">
        <x:v>0</x:v>
      </x:c>
      <x:c r="AC22" s="42" t="n">
        <x:v>0</x:v>
      </x:c>
      <x:c r="AD22" s="42" t="n">
        <x:v>0</x:v>
      </x:c>
      <x:c r="AE22" s="42" t="n">
        <x:v>1</x:v>
      </x:c>
      <x:c r="AF22" s="42" t="n">
        <x:v>0</x:v>
      </x:c>
      <x:c r="AG22" s="42" t="n">
        <x:v>1</x:v>
      </x:c>
      <x:c r="AH22" s="42" t="n">
        <x:v>0</x:v>
      </x:c>
      <x:c r="AI22" s="42" t="n">
        <x:v>0</x:v>
      </x:c>
      <x:c r="AJ22" s="42" t="n">
        <x:v>1</x:v>
      </x:c>
      <x:c r="AK22" s="42" t="n">
        <x:v>0</x:v>
      </x:c>
      <x:c r="AL22" s="42" t="n">
        <x:v>0</x:v>
      </x:c>
      <x:c r="AM22" s="42" t="n">
        <x:v>1</x:v>
      </x:c>
      <x:c r="AN22" s="42" t="n">
        <x:v>0</x:v>
      </x:c>
      <x:c r="AO22" s="42" t="n">
        <x:v>0</x:v>
      </x:c>
      <x:c r="AP22" s="42" t="n">
        <x:v>0</x:v>
      </x:c>
      <x:c r="AQ22" s="42" t="n">
        <x:v>0</x:v>
      </x:c>
      <x:c r="AR22" s="42" t="n">
        <x:v>1</x:v>
      </x:c>
      <x:c r="AS22" s="42" t="n">
        <x:v>0</x:v>
      </x:c>
      <x:c r="AT22" s="42" t="n">
        <x:v>1</x:v>
      </x:c>
      <x:c r="AU22" s="42" t="n">
        <x:v>1</x:v>
      </x:c>
      <x:c r="AV22" s="42" t="n">
        <x:v>0</x:v>
      </x:c>
    </x:row>
    <x:row r="23">
      <x:c r="A23" s="43" t="str">
        <x:v>P22</x:v>
      </x:c>
      <x:c r="B23" s="43" t="n">
        <x:v>1</x:v>
      </x:c>
      <x:c r="C23" s="43" t="n">
        <x:v>1</x:v>
      </x:c>
      <x:c r="D23" s="43" t="n">
        <x:v>0</x:v>
      </x:c>
      <x:c r="E23" s="43" t="n">
        <x:v>1</x:v>
      </x:c>
      <x:c r="F23" s="43" t="n">
        <x:v>0</x:v>
      </x:c>
      <x:c r="G23" s="43" t="n">
        <x:v>0</x:v>
      </x:c>
      <x:c r="H23" s="43" t="n">
        <x:v>0</x:v>
      </x:c>
      <x:c r="I23" s="43" t="n">
        <x:v>0</x:v>
      </x:c>
      <x:c r="J23" s="43" t="n">
        <x:v>0</x:v>
      </x:c>
      <x:c r="K23" s="43" t="n">
        <x:v>0</x:v>
      </x:c>
      <x:c r="L23" s="43" t="n">
        <x:v>0</x:v>
      </x:c>
      <x:c r="M23" s="43" t="n">
        <x:v>0</x:v>
      </x:c>
      <x:c r="N23" s="43" t="n">
        <x:v>0</x:v>
      </x:c>
      <x:c r="O23" s="43" t="n">
        <x:v>0</x:v>
      </x:c>
      <x:c r="P23" s="43" t="n">
        <x:v>0</x:v>
      </x:c>
      <x:c r="Q23" s="43" t="n">
        <x:v>0</x:v>
      </x:c>
      <x:c r="R23" s="43" t="n">
        <x:v>0</x:v>
      </x:c>
      <x:c r="S23" s="43" t="n">
        <x:v>0</x:v>
      </x:c>
      <x:c r="T23" s="43" t="n">
        <x:v>0</x:v>
      </x:c>
      <x:c r="U23" s="43" t="n">
        <x:v>0</x:v>
      </x:c>
      <x:c r="V23" s="43" t="n">
        <x:v>0</x:v>
      </x:c>
      <x:c r="W23" s="43" t="n">
        <x:v>0</x:v>
      </x:c>
      <x:c r="X23" s="43" t="n">
        <x:v>0</x:v>
      </x:c>
      <x:c r="Y23" s="43" t="n">
        <x:v>0</x:v>
      </x:c>
      <x:c r="Z23" s="43" t="n">
        <x:v>1</x:v>
      </x:c>
      <x:c r="AA23" s="43" t="n">
        <x:v>2</x:v>
      </x:c>
      <x:c r="AB23" s="43" t="n">
        <x:v>0</x:v>
      </x:c>
      <x:c r="AC23" s="43" t="n">
        <x:v>0</x:v>
      </x:c>
      <x:c r="AD23" s="43" t="n">
        <x:v>0</x:v>
      </x:c>
      <x:c r="AE23" s="43" t="n">
        <x:v>1</x:v>
      </x:c>
      <x:c r="AF23" s="43" t="n">
        <x:v>0</x:v>
      </x:c>
      <x:c r="AG23" s="43" t="n">
        <x:v>0</x:v>
      </x:c>
      <x:c r="AH23" s="43" t="n">
        <x:v>0</x:v>
      </x:c>
      <x:c r="AI23" s="43" t="n">
        <x:v>0</x:v>
      </x:c>
      <x:c r="AJ23" s="43" t="n">
        <x:v>0</x:v>
      </x:c>
      <x:c r="AK23" s="43" t="n">
        <x:v>0</x:v>
      </x:c>
      <x:c r="AL23" s="43" t="n">
        <x:v>0</x:v>
      </x:c>
      <x:c r="AM23" s="43" t="n">
        <x:v>0</x:v>
      </x:c>
      <x:c r="AN23" s="43" t="n">
        <x:v>0</x:v>
      </x:c>
      <x:c r="AO23" s="43" t="n">
        <x:v>0</x:v>
      </x:c>
      <x:c r="AP23" s="43" t="n">
        <x:v>0</x:v>
      </x:c>
      <x:c r="AQ23" s="43" t="n">
        <x:v>0</x:v>
      </x:c>
      <x:c r="AR23" s="43" t="n">
        <x:v>0</x:v>
      </x:c>
      <x:c r="AS23" s="43" t="n">
        <x:v>0</x:v>
      </x:c>
      <x:c r="AT23" s="43" t="n">
        <x:v>0</x:v>
      </x:c>
      <x:c r="AU23" s="43" t="n">
        <x:v>0</x:v>
      </x:c>
      <x:c r="AV23" s="43" t="n">
        <x:v>0</x:v>
      </x:c>
    </x:row>
    <x:row r="24">
      <x:c r="A24" s="42" t="str">
        <x:v>P23</x:v>
      </x:c>
      <x:c r="B24" s="42" t="n">
        <x:v>1</x:v>
      </x:c>
      <x:c r="C24" s="42" t="n">
        <x:v>1</x:v>
      </x:c>
      <x:c r="D24" s="42" t="n">
        <x:v>1</x:v>
      </x:c>
      <x:c r="E24" s="42" t="n">
        <x:v>2</x:v>
      </x:c>
      <x:c r="F24" s="42" t="n">
        <x:v>1</x:v>
      </x:c>
      <x:c r="G24" s="42" t="n">
        <x:v>0</x:v>
      </x:c>
      <x:c r="H24" s="42" t="n">
        <x:v>1</x:v>
      </x:c>
      <x:c r="I24" s="42" t="n">
        <x:v>3</x:v>
      </x:c>
      <x:c r="J24" s="42" t="n">
        <x:v>1</x:v>
      </x:c>
      <x:c r="K24" s="42" t="n">
        <x:v>1</x:v>
      </x:c>
      <x:c r="L24" s="42" t="n">
        <x:v>1</x:v>
      </x:c>
      <x:c r="M24" s="42" t="n">
        <x:v>1</x:v>
      </x:c>
      <x:c r="N24" s="42" t="n">
        <x:v>0</x:v>
      </x:c>
      <x:c r="O24" s="42" t="n">
        <x:v>0</x:v>
      </x:c>
      <x:c r="P24" s="42" t="n">
        <x:v>0</x:v>
      </x:c>
      <x:c r="Q24" s="42" t="n">
        <x:v>0</x:v>
      </x:c>
      <x:c r="R24" s="42" t="n">
        <x:v>0</x:v>
      </x:c>
      <x:c r="S24" s="42" t="n">
        <x:v>0</x:v>
      </x:c>
      <x:c r="T24" s="42" t="n">
        <x:v>1</x:v>
      </x:c>
      <x:c r="U24" s="42" t="n">
        <x:v>2</x:v>
      </x:c>
      <x:c r="V24" s="42" t="n">
        <x:v>1</x:v>
      </x:c>
      <x:c r="W24" s="42" t="n">
        <x:v>0</x:v>
      </x:c>
      <x:c r="X24" s="42" t="n">
        <x:v>0</x:v>
      </x:c>
      <x:c r="Y24" s="42" t="n">
        <x:v>1</x:v>
      </x:c>
      <x:c r="Z24" s="42" t="n">
        <x:v>1</x:v>
      </x:c>
      <x:c r="AA24" s="42" t="n">
        <x:v>0</x:v>
      </x:c>
      <x:c r="AB24" s="42" t="n">
        <x:v>0</x:v>
      </x:c>
      <x:c r="AC24" s="42" t="n">
        <x:v>1</x:v>
      </x:c>
      <x:c r="AD24" s="42" t="n">
        <x:v>1</x:v>
      </x:c>
      <x:c r="AE24" s="42" t="n">
        <x:v>1</x:v>
      </x:c>
      <x:c r="AF24" s="42" t="n">
        <x:v>0</x:v>
      </x:c>
      <x:c r="AG24" s="42" t="n">
        <x:v>3</x:v>
      </x:c>
      <x:c r="AH24" s="42" t="n">
        <x:v>1</x:v>
      </x:c>
      <x:c r="AI24" s="42" t="n">
        <x:v>1</x:v>
      </x:c>
      <x:c r="AJ24" s="42" t="n">
        <x:v>0</x:v>
      </x:c>
      <x:c r="AK24" s="42" t="n">
        <x:v>1</x:v>
      </x:c>
      <x:c r="AL24" s="42" t="n">
        <x:v>0</x:v>
      </x:c>
      <x:c r="AM24" s="42" t="n">
        <x:v>3</x:v>
      </x:c>
      <x:c r="AN24" s="42" t="n">
        <x:v>0</x:v>
      </x:c>
      <x:c r="AO24" s="42" t="n">
        <x:v>1</x:v>
      </x:c>
      <x:c r="AP24" s="42" t="n">
        <x:v>0</x:v>
      </x:c>
      <x:c r="AQ24" s="42" t="n">
        <x:v>0</x:v>
      </x:c>
      <x:c r="AR24" s="42" t="n">
        <x:v>3</x:v>
      </x:c>
      <x:c r="AS24" s="42" t="n">
        <x:v>0</x:v>
      </x:c>
      <x:c r="AT24" s="42" t="n">
        <x:v>0</x:v>
      </x:c>
      <x:c r="AU24" s="42" t="n">
        <x:v>2</x:v>
      </x:c>
      <x:c r="AV24" s="42" t="n">
        <x:v>1</x:v>
      </x:c>
    </x:row>
    <x:row r="25">
      <x:c r="A25" s="43" t="str">
        <x:v>P24</x:v>
      </x:c>
      <x:c r="B25" s="43" t="n">
        <x:v>1</x:v>
      </x:c>
      <x:c r="C25" s="43" t="n">
        <x:v>1</x:v>
      </x:c>
      <x:c r="D25" s="43" t="n">
        <x:v>0</x:v>
      </x:c>
      <x:c r="E25" s="43" t="n">
        <x:v>1</x:v>
      </x:c>
      <x:c r="F25" s="43" t="n">
        <x:v>0</x:v>
      </x:c>
      <x:c r="G25" s="43" t="n">
        <x:v>0</x:v>
      </x:c>
      <x:c r="H25" s="43" t="n">
        <x:v>1</x:v>
      </x:c>
      <x:c r="I25" s="43" t="n">
        <x:v>0</x:v>
      </x:c>
      <x:c r="J25" s="43" t="n">
        <x:v>0</x:v>
      </x:c>
      <x:c r="K25" s="43" t="n">
        <x:v>0</x:v>
      </x:c>
      <x:c r="L25" s="43" t="n">
        <x:v>0</x:v>
      </x:c>
      <x:c r="M25" s="43" t="n">
        <x:v>1</x:v>
      </x:c>
      <x:c r="N25" s="43" t="n">
        <x:v>0</x:v>
      </x:c>
      <x:c r="O25" s="43" t="n">
        <x:v>0</x:v>
      </x:c>
      <x:c r="P25" s="43" t="n">
        <x:v>0</x:v>
      </x:c>
      <x:c r="Q25" s="43" t="n">
        <x:v>0</x:v>
      </x:c>
      <x:c r="R25" s="43" t="n">
        <x:v>0</x:v>
      </x:c>
      <x:c r="S25" s="43" t="n">
        <x:v>0</x:v>
      </x:c>
      <x:c r="T25" s="43" t="n">
        <x:v>0</x:v>
      </x:c>
      <x:c r="U25" s="43" t="n">
        <x:v>0</x:v>
      </x:c>
      <x:c r="V25" s="43" t="n">
        <x:v>1</x:v>
      </x:c>
      <x:c r="W25" s="43" t="n">
        <x:v>0</x:v>
      </x:c>
      <x:c r="X25" s="43" t="n">
        <x:v>0</x:v>
      </x:c>
      <x:c r="Y25" s="43" t="n">
        <x:v>0</x:v>
      </x:c>
      <x:c r="Z25" s="43" t="n">
        <x:v>0</x:v>
      </x:c>
      <x:c r="AA25" s="43" t="n">
        <x:v>0</x:v>
      </x:c>
      <x:c r="AB25" s="43" t="n">
        <x:v>0</x:v>
      </x:c>
      <x:c r="AC25" s="43" t="n">
        <x:v>0</x:v>
      </x:c>
      <x:c r="AD25" s="43" t="n">
        <x:v>0</x:v>
      </x:c>
      <x:c r="AE25" s="43" t="n">
        <x:v>0</x:v>
      </x:c>
      <x:c r="AF25" s="43" t="n">
        <x:v>0</x:v>
      </x:c>
      <x:c r="AG25" s="43" t="n">
        <x:v>1</x:v>
      </x:c>
      <x:c r="AH25" s="43" t="n">
        <x:v>0</x:v>
      </x:c>
      <x:c r="AI25" s="43" t="n">
        <x:v>0</x:v>
      </x:c>
      <x:c r="AJ25" s="43" t="n">
        <x:v>0</x:v>
      </x:c>
      <x:c r="AK25" s="43" t="n">
        <x:v>0</x:v>
      </x:c>
      <x:c r="AL25" s="43" t="n">
        <x:v>0</x:v>
      </x:c>
      <x:c r="AM25" s="43" t="n">
        <x:v>0</x:v>
      </x:c>
      <x:c r="AN25" s="43" t="n">
        <x:v>0</x:v>
      </x:c>
      <x:c r="AO25" s="43" t="n">
        <x:v>0</x:v>
      </x:c>
      <x:c r="AP25" s="43" t="n">
        <x:v>0</x:v>
      </x:c>
      <x:c r="AQ25" s="43" t="n">
        <x:v>0</x:v>
      </x:c>
      <x:c r="AR25" s="43" t="n">
        <x:v>0</x:v>
      </x:c>
      <x:c r="AS25" s="43" t="n">
        <x:v>0</x:v>
      </x:c>
      <x:c r="AT25" s="43" t="n">
        <x:v>0</x:v>
      </x:c>
      <x:c r="AU25" s="43" t="n">
        <x:v>0</x:v>
      </x:c>
      <x:c r="AV25" s="43" t="n">
        <x:v>1</x:v>
      </x:c>
    </x:row>
    <x:row r="26">
      <x:c r="A26" s="42" t="str">
        <x:v>P25</x:v>
      </x:c>
      <x:c r="B26" s="42" t="n">
        <x:v>1</x:v>
      </x:c>
      <x:c r="C26" s="42" t="n">
        <x:v>1</x:v>
      </x:c>
      <x:c r="D26" s="42" t="n">
        <x:v>1</x:v>
      </x:c>
      <x:c r="E26" s="42" t="n">
        <x:v>0</x:v>
      </x:c>
      <x:c r="F26" s="42" t="n">
        <x:v>0</x:v>
      </x:c>
      <x:c r="G26" s="42" t="n">
        <x:v>2</x:v>
      </x:c>
      <x:c r="H26" s="42" t="n">
        <x:v>0</x:v>
      </x:c>
      <x:c r="I26" s="42" t="n">
        <x:v>1</x:v>
      </x:c>
      <x:c r="J26" s="42" t="n">
        <x:v>1</x:v>
      </x:c>
      <x:c r="K26" s="42" t="n">
        <x:v>0</x:v>
      </x:c>
      <x:c r="L26" s="42" t="n">
        <x:v>1</x:v>
      </x:c>
      <x:c r="M26" s="42" t="n">
        <x:v>0</x:v>
      </x:c>
      <x:c r="N26" s="42" t="n">
        <x:v>2</x:v>
      </x:c>
      <x:c r="O26" s="42" t="n">
        <x:v>0</x:v>
      </x:c>
      <x:c r="P26" s="42" t="n">
        <x:v>0</x:v>
      </x:c>
      <x:c r="Q26" s="42" t="n">
        <x:v>1</x:v>
      </x:c>
      <x:c r="R26" s="42" t="n">
        <x:v>0</x:v>
      </x:c>
      <x:c r="S26" s="42" t="n">
        <x:v>1</x:v>
      </x:c>
      <x:c r="T26" s="42" t="n">
        <x:v>1</x:v>
      </x:c>
      <x:c r="U26" s="42" t="n">
        <x:v>0</x:v>
      </x:c>
      <x:c r="V26" s="42" t="n">
        <x:v>2</x:v>
      </x:c>
      <x:c r="W26" s="42" t="n">
        <x:v>1</x:v>
      </x:c>
      <x:c r="X26" s="42" t="n">
        <x:v>2</x:v>
      </x:c>
      <x:c r="Y26" s="42" t="n">
        <x:v>2</x:v>
      </x:c>
      <x:c r="Z26" s="42" t="n">
        <x:v>1</x:v>
      </x:c>
      <x:c r="AA26" s="42" t="n">
        <x:v>0</x:v>
      </x:c>
      <x:c r="AB26" s="42" t="n">
        <x:v>1</x:v>
      </x:c>
      <x:c r="AC26" s="42" t="n">
        <x:v>0</x:v>
      </x:c>
      <x:c r="AD26" s="42" t="n">
        <x:v>0</x:v>
      </x:c>
      <x:c r="AE26" s="42" t="n">
        <x:v>1</x:v>
      </x:c>
      <x:c r="AF26" s="42" t="n">
        <x:v>0</x:v>
      </x:c>
      <x:c r="AG26" s="42" t="n">
        <x:v>0</x:v>
      </x:c>
      <x:c r="AH26" s="42" t="n">
        <x:v>0</x:v>
      </x:c>
      <x:c r="AI26" s="42" t="n">
        <x:v>1</x:v>
      </x:c>
      <x:c r="AJ26" s="42" t="n">
        <x:v>0</x:v>
      </x:c>
      <x:c r="AK26" s="42" t="n">
        <x:v>0</x:v>
      </x:c>
      <x:c r="AL26" s="42" t="n">
        <x:v>1</x:v>
      </x:c>
      <x:c r="AM26" s="42" t="n">
        <x:v>0</x:v>
      </x:c>
      <x:c r="AN26" s="42" t="n">
        <x:v>0</x:v>
      </x:c>
      <x:c r="AO26" s="42" t="n">
        <x:v>2</x:v>
      </x:c>
      <x:c r="AP26" s="42" t="n">
        <x:v>0</x:v>
      </x:c>
      <x:c r="AQ26" s="42" t="n">
        <x:v>1</x:v>
      </x:c>
      <x:c r="AR26" s="42" t="n">
        <x:v>0</x:v>
      </x:c>
      <x:c r="AS26" s="42" t="n">
        <x:v>0</x:v>
      </x:c>
      <x:c r="AT26" s="42" t="n">
        <x:v>0</x:v>
      </x:c>
      <x:c r="AU26" s="42" t="n">
        <x:v>2</x:v>
      </x:c>
      <x:c r="AV26" s="42" t="n">
        <x:v>1</x:v>
      </x:c>
    </x:row>
    <x:row r="27">
      <x:c r="A27" s="43" t="str">
        <x:v>P26</x:v>
      </x:c>
      <x:c r="B27" s="43" t="n">
        <x:v>0</x:v>
      </x:c>
      <x:c r="C27" s="43" t="n">
        <x:v>0</x:v>
      </x:c>
      <x:c r="D27" s="43" t="n">
        <x:v>0</x:v>
      </x:c>
      <x:c r="E27" s="43" t="n">
        <x:v>1</x:v>
      </x:c>
      <x:c r="F27" s="43" t="n">
        <x:v>0</x:v>
      </x:c>
      <x:c r="G27" s="43" t="n">
        <x:v>0</x:v>
      </x:c>
      <x:c r="H27" s="43" t="n">
        <x:v>0</x:v>
      </x:c>
      <x:c r="I27" s="43" t="n">
        <x:v>0</x:v>
      </x:c>
      <x:c r="J27" s="43" t="n">
        <x:v>0</x:v>
      </x:c>
      <x:c r="K27" s="43" t="n">
        <x:v>0</x:v>
      </x:c>
      <x:c r="L27" s="43" t="n">
        <x:v>0</x:v>
      </x:c>
      <x:c r="M27" s="43" t="n">
        <x:v>0</x:v>
      </x:c>
      <x:c r="N27" s="43" t="n">
        <x:v>0</x:v>
      </x:c>
      <x:c r="O27" s="43" t="n">
        <x:v>0</x:v>
      </x:c>
      <x:c r="P27" s="43" t="n">
        <x:v>0</x:v>
      </x:c>
      <x:c r="Q27" s="43" t="n">
        <x:v>0</x:v>
      </x:c>
      <x:c r="R27" s="43" t="n">
        <x:v>0</x:v>
      </x:c>
      <x:c r="S27" s="43" t="n">
        <x:v>0</x:v>
      </x:c>
      <x:c r="T27" s="43" t="n">
        <x:v>0</x:v>
      </x:c>
      <x:c r="U27" s="43" t="n">
        <x:v>0</x:v>
      </x:c>
      <x:c r="V27" s="43" t="n">
        <x:v>0</x:v>
      </x:c>
      <x:c r="W27" s="43" t="n">
        <x:v>0</x:v>
      </x:c>
      <x:c r="X27" s="43" t="n">
        <x:v>0</x:v>
      </x:c>
      <x:c r="Y27" s="43" t="n">
        <x:v>1</x:v>
      </x:c>
      <x:c r="Z27" s="43" t="n">
        <x:v>0</x:v>
      </x:c>
      <x:c r="AA27" s="43" t="n">
        <x:v>0</x:v>
      </x:c>
      <x:c r="AB27" s="43" t="n">
        <x:v>0</x:v>
      </x:c>
      <x:c r="AC27" s="43" t="n">
        <x:v>0</x:v>
      </x:c>
      <x:c r="AD27" s="43" t="n">
        <x:v>0</x:v>
      </x:c>
      <x:c r="AE27" s="43" t="n">
        <x:v>0</x:v>
      </x:c>
      <x:c r="AF27" s="43" t="n">
        <x:v>0</x:v>
      </x:c>
      <x:c r="AG27" s="43" t="n">
        <x:v>1</x:v>
      </x:c>
      <x:c r="AH27" s="43" t="n">
        <x:v>0</x:v>
      </x:c>
      <x:c r="AI27" s="43" t="n">
        <x:v>0</x:v>
      </x:c>
      <x:c r="AJ27" s="43" t="n">
        <x:v>0</x:v>
      </x:c>
      <x:c r="AK27" s="43" t="n">
        <x:v>0</x:v>
      </x:c>
      <x:c r="AL27" s="43" t="n">
        <x:v>0</x:v>
      </x:c>
      <x:c r="AM27" s="43" t="n">
        <x:v>1</x:v>
      </x:c>
      <x:c r="AN27" s="43" t="n">
        <x:v>0</x:v>
      </x:c>
      <x:c r="AO27" s="43" t="n">
        <x:v>0</x:v>
      </x:c>
      <x:c r="AP27" s="43" t="n">
        <x:v>0</x:v>
      </x:c>
      <x:c r="AQ27" s="43" t="n">
        <x:v>0</x:v>
      </x:c>
      <x:c r="AR27" s="43" t="n">
        <x:v>0</x:v>
      </x:c>
      <x:c r="AS27" s="43" t="n">
        <x:v>0</x:v>
      </x:c>
      <x:c r="AT27" s="43" t="n">
        <x:v>0</x:v>
      </x:c>
      <x:c r="AU27" s="43" t="n">
        <x:v>0</x:v>
      </x:c>
      <x:c r="AV27" s="43" t="n">
        <x:v>0</x:v>
      </x:c>
    </x:row>
    <x:row r="28">
      <x:c r="A28" s="42" t="str">
        <x:v>P27</x:v>
      </x:c>
      <x:c r="B28" s="42" t="n">
        <x:v>3</x:v>
      </x:c>
      <x:c r="C28" s="42" t="n">
        <x:v>1</x:v>
      </x:c>
      <x:c r="D28" s="42" t="n">
        <x:v>1</x:v>
      </x:c>
      <x:c r="E28" s="42" t="n">
        <x:v>3</x:v>
      </x:c>
      <x:c r="F28" s="42" t="n">
        <x:v>2</x:v>
      </x:c>
      <x:c r="G28" s="42" t="n">
        <x:v>0</x:v>
      </x:c>
      <x:c r="H28" s="42" t="n">
        <x:v>2</x:v>
      </x:c>
      <x:c r="I28" s="42" t="n">
        <x:v>3</x:v>
      </x:c>
      <x:c r="J28" s="42" t="n">
        <x:v>2</x:v>
      </x:c>
      <x:c r="K28" s="42" t="n">
        <x:v>1</x:v>
      </x:c>
      <x:c r="L28" s="42" t="n">
        <x:v>3</x:v>
      </x:c>
      <x:c r="M28" s="42" t="n">
        <x:v>2</x:v>
      </x:c>
      <x:c r="N28" s="42" t="n">
        <x:v>3</x:v>
      </x:c>
      <x:c r="O28" s="42" t="n">
        <x:v>1</x:v>
      </x:c>
      <x:c r="P28" s="42" t="n">
        <x:v>2</x:v>
      </x:c>
      <x:c r="Q28" s="42" t="n">
        <x:v>1</x:v>
      </x:c>
      <x:c r="R28" s="42" t="n">
        <x:v>3</x:v>
      </x:c>
      <x:c r="S28" s="42" t="n">
        <x:v>2</x:v>
      </x:c>
      <x:c r="T28" s="42" t="n">
        <x:v>1</x:v>
      </x:c>
      <x:c r="U28" s="42" t="n">
        <x:v>2</x:v>
      </x:c>
      <x:c r="V28" s="42" t="n">
        <x:v>3</x:v>
      </x:c>
      <x:c r="W28" s="42" t="n">
        <x:v>1</x:v>
      </x:c>
      <x:c r="X28" s="42" t="n">
        <x:v>1</x:v>
      </x:c>
      <x:c r="Y28" s="42" t="n">
        <x:v>2</x:v>
      </x:c>
      <x:c r="Z28" s="42" t="n">
        <x:v>1</x:v>
      </x:c>
      <x:c r="AA28" s="42" t="n">
        <x:v>0</x:v>
      </x:c>
      <x:c r="AB28" s="42" t="n">
        <x:v>3</x:v>
      </x:c>
      <x:c r="AC28" s="42" t="n">
        <x:v>1</x:v>
      </x:c>
      <x:c r="AD28" s="42" t="n">
        <x:v>0</x:v>
      </x:c>
      <x:c r="AE28" s="42" t="n">
        <x:v>3</x:v>
      </x:c>
      <x:c r="AF28" s="42" t="n">
        <x:v>0</x:v>
      </x:c>
      <x:c r="AG28" s="42" t="n">
        <x:v>2</x:v>
      </x:c>
      <x:c r="AH28" s="42" t="n">
        <x:v>0</x:v>
      </x:c>
      <x:c r="AI28" s="42" t="n">
        <x:v>2</x:v>
      </x:c>
      <x:c r="AJ28" s="42" t="n">
        <x:v>2</x:v>
      </x:c>
      <x:c r="AK28" s="42" t="n">
        <x:v>0</x:v>
      </x:c>
      <x:c r="AL28" s="42" t="n">
        <x:v>3</x:v>
      </x:c>
      <x:c r="AM28" s="42" t="n">
        <x:v>1</x:v>
      </x:c>
      <x:c r="AN28" s="42" t="n">
        <x:v>0</x:v>
      </x:c>
      <x:c r="AO28" s="42" t="n">
        <x:v>1</x:v>
      </x:c>
      <x:c r="AP28" s="42" t="n">
        <x:v>2</x:v>
      </x:c>
      <x:c r="AQ28" s="42" t="n">
        <x:v>0</x:v>
      </x:c>
      <x:c r="AR28" s="42" t="n">
        <x:v>2</x:v>
      </x:c>
      <x:c r="AS28" s="42" t="n">
        <x:v>0</x:v>
      </x:c>
      <x:c r="AT28" s="42" t="n">
        <x:v>3</x:v>
      </x:c>
      <x:c r="AU28" s="42" t="n">
        <x:v>0</x:v>
      </x:c>
      <x:c r="AV28" s="42" t="n">
        <x:v>2</x:v>
      </x:c>
    </x:row>
    <x:row r="29">
      <x:c r="A29" s="43" t="str">
        <x:v>P28</x:v>
      </x:c>
      <x:c r="B29" s="43" t="n">
        <x:v>1</x:v>
      </x:c>
      <x:c r="C29" s="43" t="n">
        <x:v>1</x:v>
      </x:c>
      <x:c r="D29" s="43" t="n">
        <x:v>2</x:v>
      </x:c>
      <x:c r="E29" s="43" t="n">
        <x:v>1</x:v>
      </x:c>
      <x:c r="F29" s="43" t="n">
        <x:v>0</x:v>
      </x:c>
      <x:c r="G29" s="43" t="n">
        <x:v>0</x:v>
      </x:c>
      <x:c r="H29" s="43" t="n">
        <x:v>0</x:v>
      </x:c>
      <x:c r="I29" s="43" t="n">
        <x:v>0</x:v>
      </x:c>
      <x:c r="J29" s="43" t="n">
        <x:v>0</x:v>
      </x:c>
      <x:c r="K29" s="43" t="n">
        <x:v>0</x:v>
      </x:c>
      <x:c r="L29" s="43" t="n">
        <x:v>0</x:v>
      </x:c>
      <x:c r="M29" s="43" t="n">
        <x:v>0</x:v>
      </x:c>
      <x:c r="N29" s="43" t="n">
        <x:v>0</x:v>
      </x:c>
      <x:c r="O29" s="43" t="n">
        <x:v>0</x:v>
      </x:c>
      <x:c r="P29" s="43" t="n">
        <x:v>1</x:v>
      </x:c>
      <x:c r="Q29" s="43" t="n">
        <x:v>0</x:v>
      </x:c>
      <x:c r="R29" s="43" t="n">
        <x:v>0</x:v>
      </x:c>
      <x:c r="S29" s="43" t="n">
        <x:v>0</x:v>
      </x:c>
      <x:c r="T29" s="43" t="n">
        <x:v>0</x:v>
      </x:c>
      <x:c r="U29" s="43" t="n">
        <x:v>1</x:v>
      </x:c>
      <x:c r="V29" s="43" t="n">
        <x:v>1</x:v>
      </x:c>
      <x:c r="W29" s="43" t="n">
        <x:v>0</x:v>
      </x:c>
      <x:c r="X29" s="43" t="n">
        <x:v>0</x:v>
      </x:c>
      <x:c r="Y29" s="43" t="n">
        <x:v>0</x:v>
      </x:c>
      <x:c r="Z29" s="43" t="n">
        <x:v>0</x:v>
      </x:c>
      <x:c r="AA29" s="43" t="n">
        <x:v>0</x:v>
      </x:c>
      <x:c r="AB29" s="43" t="n">
        <x:v>0</x:v>
      </x:c>
      <x:c r="AC29" s="43" t="n">
        <x:v>0</x:v>
      </x:c>
      <x:c r="AD29" s="43" t="n">
        <x:v>0</x:v>
      </x:c>
      <x:c r="AE29" s="43" t="n">
        <x:v>1</x:v>
      </x:c>
      <x:c r="AF29" s="43" t="n">
        <x:v>0</x:v>
      </x:c>
      <x:c r="AG29" s="43" t="n">
        <x:v>0</x:v>
      </x:c>
      <x:c r="AH29" s="43" t="n">
        <x:v>0</x:v>
      </x:c>
      <x:c r="AI29" s="43" t="n">
        <x:v>0</x:v>
      </x:c>
      <x:c r="AJ29" s="43" t="n">
        <x:v>0</x:v>
      </x:c>
      <x:c r="AK29" s="43" t="n">
        <x:v>0</x:v>
      </x:c>
      <x:c r="AL29" s="43" t="n">
        <x:v>0</x:v>
      </x:c>
      <x:c r="AM29" s="43" t="n">
        <x:v>0</x:v>
      </x:c>
      <x:c r="AN29" s="43" t="n">
        <x:v>0</x:v>
      </x:c>
      <x:c r="AO29" s="43" t="n">
        <x:v>0</x:v>
      </x:c>
      <x:c r="AP29" s="43" t="n">
        <x:v>0</x:v>
      </x:c>
      <x:c r="AQ29" s="43" t="n">
        <x:v>0</x:v>
      </x:c>
      <x:c r="AR29" s="43" t="n">
        <x:v>1</x:v>
      </x:c>
      <x:c r="AS29" s="43" t="n">
        <x:v>0</x:v>
      </x:c>
      <x:c r="AT29" s="43" t="n">
        <x:v>0</x:v>
      </x:c>
      <x:c r="AU29" s="43" t="n">
        <x:v>0</x:v>
      </x:c>
      <x:c r="AV29" s="43" t="n">
        <x:v>1</x:v>
      </x:c>
    </x:row>
    <x:row r="30">
      <x:c r="A30" s="42" t="str">
        <x:v>P29</x:v>
      </x:c>
      <x:c r="B30" s="42" t="n">
        <x:v>2</x:v>
      </x:c>
      <x:c r="C30" s="42" t="n">
        <x:v>1</x:v>
      </x:c>
      <x:c r="D30" s="42" t="n">
        <x:v>1</x:v>
      </x:c>
      <x:c r="E30" s="42" t="n">
        <x:v>2</x:v>
      </x:c>
      <x:c r="F30" s="42" t="n">
        <x:v>0</x:v>
      </x:c>
      <x:c r="G30" s="42" t="n">
        <x:v>1</x:v>
      </x:c>
      <x:c r="H30" s="42" t="n">
        <x:v>1</x:v>
      </x:c>
      <x:c r="I30" s="42" t="n">
        <x:v>1</x:v>
      </x:c>
      <x:c r="J30" s="42" t="n">
        <x:v>0</x:v>
      </x:c>
      <x:c r="K30" s="42" t="n">
        <x:v>1</x:v>
      </x:c>
      <x:c r="L30" s="42" t="n">
        <x:v>1</x:v>
      </x:c>
      <x:c r="M30" s="42" t="n">
        <x:v>1</x:v>
      </x:c>
      <x:c r="N30" s="42" t="n">
        <x:v>1</x:v>
      </x:c>
      <x:c r="O30" s="42" t="n">
        <x:v>0</x:v>
      </x:c>
      <x:c r="P30" s="42" t="n">
        <x:v>0</x:v>
      </x:c>
      <x:c r="Q30" s="42" t="n">
        <x:v>2</x:v>
      </x:c>
      <x:c r="R30" s="42" t="n">
        <x:v>0</x:v>
      </x:c>
      <x:c r="S30" s="42" t="n">
        <x:v>0</x:v>
      </x:c>
      <x:c r="T30" s="42" t="n">
        <x:v>1</x:v>
      </x:c>
      <x:c r="U30" s="42" t="n">
        <x:v>2</x:v>
      </x:c>
      <x:c r="V30" s="42" t="n">
        <x:v>1</x:v>
      </x:c>
      <x:c r="W30" s="42" t="n">
        <x:v>1</x:v>
      </x:c>
      <x:c r="X30" s="42" t="n">
        <x:v>1</x:v>
      </x:c>
      <x:c r="Y30" s="42" t="n">
        <x:v>2</x:v>
      </x:c>
      <x:c r="Z30" s="42" t="n">
        <x:v>1</x:v>
      </x:c>
      <x:c r="AA30" s="42" t="n">
        <x:v>0</x:v>
      </x:c>
      <x:c r="AB30" s="42" t="n">
        <x:v>1</x:v>
      </x:c>
      <x:c r="AC30" s="42" t="n">
        <x:v>1</x:v>
      </x:c>
      <x:c r="AD30" s="42" t="n">
        <x:v>1</x:v>
      </x:c>
      <x:c r="AE30" s="42" t="n">
        <x:v>2</x:v>
      </x:c>
      <x:c r="AF30" s="42" t="n">
        <x:v>1</x:v>
      </x:c>
      <x:c r="AG30" s="42" t="n">
        <x:v>2</x:v>
      </x:c>
      <x:c r="AH30" s="42" t="n">
        <x:v>2</x:v>
      </x:c>
      <x:c r="AI30" s="42" t="n">
        <x:v>0</x:v>
      </x:c>
      <x:c r="AJ30" s="42" t="n">
        <x:v>2</x:v>
      </x:c>
      <x:c r="AK30" s="42" t="n">
        <x:v>0</x:v>
      </x:c>
      <x:c r="AL30" s="42" t="n">
        <x:v>2</x:v>
      </x:c>
      <x:c r="AM30" s="42" t="n">
        <x:v>1</x:v>
      </x:c>
      <x:c r="AN30" s="42" t="n">
        <x:v>0</x:v>
      </x:c>
      <x:c r="AO30" s="42" t="n">
        <x:v>0</x:v>
      </x:c>
      <x:c r="AP30" s="42" t="n">
        <x:v>0</x:v>
      </x:c>
      <x:c r="AQ30" s="42" t="n">
        <x:v>1</x:v>
      </x:c>
      <x:c r="AR30" s="42" t="n">
        <x:v>2</x:v>
      </x:c>
      <x:c r="AS30" s="42" t="n">
        <x:v>0</x:v>
      </x:c>
      <x:c r="AT30" s="42" t="n">
        <x:v>0</x:v>
      </x:c>
      <x:c r="AU30" s="42" t="n">
        <x:v>0</x:v>
      </x:c>
      <x:c r="AV30" s="42" t="n">
        <x:v>1</x:v>
      </x:c>
    </x:row>
    <x:row r="31">
      <x:c r="A31" s="43" t="str">
        <x:v>P30</x:v>
      </x:c>
      <x:c r="B31" s="43" t="n">
        <x:v>2</x:v>
      </x:c>
      <x:c r="C31" s="43" t="n">
        <x:v>0</x:v>
      </x:c>
      <x:c r="D31" s="43" t="n">
        <x:v>1</x:v>
      </x:c>
      <x:c r="E31" s="43" t="n">
        <x:v>1</x:v>
      </x:c>
      <x:c r="F31" s="43" t="n">
        <x:v>0</x:v>
      </x:c>
      <x:c r="G31" s="43" t="n">
        <x:v>0</x:v>
      </x:c>
      <x:c r="H31" s="43" t="n">
        <x:v>1</x:v>
      </x:c>
      <x:c r="I31" s="43" t="n">
        <x:v>2</x:v>
      </x:c>
      <x:c r="J31" s="43" t="n">
        <x:v>1</x:v>
      </x:c>
      <x:c r="K31" s="43" t="n">
        <x:v>0</x:v>
      </x:c>
      <x:c r="L31" s="43" t="n">
        <x:v>0</x:v>
      </x:c>
      <x:c r="M31" s="43" t="n">
        <x:v>0</x:v>
      </x:c>
      <x:c r="N31" s="43" t="n">
        <x:v>0</x:v>
      </x:c>
      <x:c r="O31" s="43" t="n">
        <x:v>0</x:v>
      </x:c>
      <x:c r="P31" s="43" t="n">
        <x:v>2</x:v>
      </x:c>
      <x:c r="Q31" s="43" t="n">
        <x:v>3</x:v>
      </x:c>
      <x:c r="R31" s="43" t="n">
        <x:v>0</x:v>
      </x:c>
      <x:c r="S31" s="43" t="n">
        <x:v>0</x:v>
      </x:c>
      <x:c r="T31" s="43" t="n">
        <x:v>1</x:v>
      </x:c>
      <x:c r="U31" s="43" t="n">
        <x:v>0</x:v>
      </x:c>
      <x:c r="V31" s="43" t="n">
        <x:v>2</x:v>
      </x:c>
      <x:c r="W31" s="43" t="n">
        <x:v>1</x:v>
      </x:c>
      <x:c r="X31" s="43" t="n">
        <x:v>0</x:v>
      </x:c>
      <x:c r="Y31" s="43" t="n">
        <x:v>1</x:v>
      </x:c>
      <x:c r="Z31" s="43" t="n">
        <x:v>1</x:v>
      </x:c>
      <x:c r="AA31" s="43" t="n">
        <x:v>0</x:v>
      </x:c>
      <x:c r="AB31" s="43" t="n">
        <x:v>1</x:v>
      </x:c>
      <x:c r="AC31" s="43" t="n">
        <x:v>1</x:v>
      </x:c>
      <x:c r="AD31" s="43" t="n">
        <x:v>0</x:v>
      </x:c>
      <x:c r="AE31" s="43" t="n">
        <x:v>1</x:v>
      </x:c>
      <x:c r="AF31" s="43" t="n">
        <x:v>2</x:v>
      </x:c>
      <x:c r="AG31" s="43" t="n">
        <x:v>1</x:v>
      </x:c>
      <x:c r="AH31" s="43" t="n">
        <x:v>1</x:v>
      </x:c>
      <x:c r="AI31" s="43" t="n">
        <x:v>1</x:v>
      </x:c>
      <x:c r="AJ31" s="43" t="n">
        <x:v>2</x:v>
      </x:c>
      <x:c r="AK31" s="43" t="n">
        <x:v>1</x:v>
      </x:c>
      <x:c r="AL31" s="43" t="n">
        <x:v>0</x:v>
      </x:c>
      <x:c r="AM31" s="43" t="n">
        <x:v>0</x:v>
      </x:c>
      <x:c r="AN31" s="43" t="n">
        <x:v>1</x:v>
      </x:c>
      <x:c r="AO31" s="43" t="n">
        <x:v>0</x:v>
      </x:c>
      <x:c r="AP31" s="43" t="n">
        <x:v>2</x:v>
      </x:c>
      <x:c r="AQ31" s="43" t="n">
        <x:v>3</x:v>
      </x:c>
      <x:c r="AR31" s="43" t="n">
        <x:v>0</x:v>
      </x:c>
      <x:c r="AS31" s="43" t="n">
        <x:v>3</x:v>
      </x:c>
      <x:c r="AT31" s="43" t="n">
        <x:v>0</x:v>
      </x:c>
      <x:c r="AU31" s="43" t="n">
        <x:v>0</x:v>
      </x:c>
      <x:c r="AV31" s="43" t="n">
        <x:v>0</x:v>
      </x:c>
    </x:row>
    <x:row r="32">
      <x:c r="A32" s="42" t="str">
        <x:v>P31</x:v>
      </x:c>
      <x:c r="B32" s="42" t="n">
        <x:v>1</x:v>
      </x:c>
      <x:c r="C32" s="42" t="n">
        <x:v>0</x:v>
      </x:c>
      <x:c r="D32" s="42" t="n">
        <x:v>0</x:v>
      </x:c>
      <x:c r="E32" s="42" t="n">
        <x:v>1</x:v>
      </x:c>
      <x:c r="F32" s="42" t="n">
        <x:v>0</x:v>
      </x:c>
      <x:c r="G32" s="42" t="n">
        <x:v>0</x:v>
      </x:c>
      <x:c r="H32" s="42" t="n">
        <x:v>0</x:v>
      </x:c>
      <x:c r="I32" s="42" t="n">
        <x:v>0</x:v>
      </x:c>
      <x:c r="J32" s="42" t="n">
        <x:v>0</x:v>
      </x:c>
      <x:c r="K32" s="42" t="n">
        <x:v>0</x:v>
      </x:c>
      <x:c r="L32" s="42" t="n">
        <x:v>0</x:v>
      </x:c>
      <x:c r="M32" s="42" t="n">
        <x:v>0</x:v>
      </x:c>
      <x:c r="N32" s="42" t="n">
        <x:v>0</x:v>
      </x:c>
      <x:c r="O32" s="42" t="n">
        <x:v>0</x:v>
      </x:c>
      <x:c r="P32" s="42" t="n">
        <x:v>0</x:v>
      </x:c>
      <x:c r="Q32" s="42" t="n">
        <x:v>0</x:v>
      </x:c>
      <x:c r="R32" s="42" t="n">
        <x:v>0</x:v>
      </x:c>
      <x:c r="S32" s="42" t="n">
        <x:v>0</x:v>
      </x:c>
      <x:c r="T32" s="42" t="n">
        <x:v>0</x:v>
      </x:c>
      <x:c r="U32" s="42" t="n">
        <x:v>0</x:v>
      </x:c>
      <x:c r="V32" s="42" t="n">
        <x:v>0</x:v>
      </x:c>
      <x:c r="W32" s="42" t="n">
        <x:v>0</x:v>
      </x:c>
      <x:c r="X32" s="42" t="n">
        <x:v>0</x:v>
      </x:c>
      <x:c r="Y32" s="42" t="n">
        <x:v>0</x:v>
      </x:c>
      <x:c r="Z32" s="42" t="n">
        <x:v>0</x:v>
      </x:c>
      <x:c r="AA32" s="42" t="n">
        <x:v>0</x:v>
      </x:c>
      <x:c r="AB32" s="42" t="n">
        <x:v>0</x:v>
      </x:c>
      <x:c r="AC32" s="42" t="n">
        <x:v>0</x:v>
      </x:c>
      <x:c r="AD32" s="42" t="n">
        <x:v>0</x:v>
      </x:c>
      <x:c r="AE32" s="42" t="n">
        <x:v>1</x:v>
      </x:c>
      <x:c r="AF32" s="42" t="n">
        <x:v>0</x:v>
      </x:c>
      <x:c r="AG32" s="42" t="n">
        <x:v>0</x:v>
      </x:c>
      <x:c r="AH32" s="42" t="n">
        <x:v>0</x:v>
      </x:c>
      <x:c r="AI32" s="42" t="n">
        <x:v>0</x:v>
      </x:c>
      <x:c r="AJ32" s="42" t="n">
        <x:v>0</x:v>
      </x:c>
      <x:c r="AK32" s="42" t="n">
        <x:v>0</x:v>
      </x:c>
      <x:c r="AL32" s="42" t="n">
        <x:v>0</x:v>
      </x:c>
      <x:c r="AM32" s="42" t="n">
        <x:v>0</x:v>
      </x:c>
      <x:c r="AN32" s="42" t="n">
        <x:v>0</x:v>
      </x:c>
      <x:c r="AO32" s="42" t="n">
        <x:v>0</x:v>
      </x:c>
      <x:c r="AP32" s="42" t="n">
        <x:v>0</x:v>
      </x:c>
      <x:c r="AQ32" s="42" t="n">
        <x:v>0</x:v>
      </x:c>
      <x:c r="AR32" s="42" t="n">
        <x:v>0</x:v>
      </x:c>
      <x:c r="AS32" s="42" t="n">
        <x:v>0</x:v>
      </x:c>
      <x:c r="AT32" s="42" t="n">
        <x:v>0</x:v>
      </x:c>
      <x:c r="AU32" s="42" t="n">
        <x:v>0</x:v>
      </x:c>
      <x:c r="AV32" s="42" t="n">
        <x:v>0</x:v>
      </x:c>
    </x:row>
    <x:row r="33">
      <x:c r="A33" s="43" t="str">
        <x:v>P32</x:v>
      </x:c>
      <x:c r="B33" s="43" t="n">
        <x:v>1</x:v>
      </x:c>
      <x:c r="C33" s="43" t="n">
        <x:v>0</x:v>
      </x:c>
      <x:c r="D33" s="43" t="n">
        <x:v>1</x:v>
      </x:c>
      <x:c r="E33" s="43" t="n">
        <x:v>2</x:v>
      </x:c>
      <x:c r="F33" s="43" t="n">
        <x:v>0</x:v>
      </x:c>
      <x:c r="G33" s="43" t="n">
        <x:v>0</x:v>
      </x:c>
      <x:c r="H33" s="43" t="n">
        <x:v>1</x:v>
      </x:c>
      <x:c r="I33" s="43" t="n">
        <x:v>1</x:v>
      </x:c>
      <x:c r="J33" s="43" t="n">
        <x:v>0</x:v>
      </x:c>
      <x:c r="K33" s="43" t="n">
        <x:v>0</x:v>
      </x:c>
      <x:c r="L33" s="43" t="n">
        <x:v>1</x:v>
      </x:c>
      <x:c r="M33" s="43" t="n">
        <x:v>1</x:v>
      </x:c>
      <x:c r="N33" s="43" t="n">
        <x:v>1</x:v>
      </x:c>
      <x:c r="O33" s="43" t="n">
        <x:v>0</x:v>
      </x:c>
      <x:c r="P33" s="43" t="n">
        <x:v>1</x:v>
      </x:c>
      <x:c r="Q33" s="43" t="n">
        <x:v>0</x:v>
      </x:c>
      <x:c r="R33" s="43" t="n">
        <x:v>0</x:v>
      </x:c>
      <x:c r="S33" s="43" t="n">
        <x:v>0</x:v>
      </x:c>
      <x:c r="T33" s="43" t="n">
        <x:v>1</x:v>
      </x:c>
      <x:c r="U33" s="43" t="n">
        <x:v>0</x:v>
      </x:c>
      <x:c r="V33" s="43" t="n">
        <x:v>0</x:v>
      </x:c>
      <x:c r="W33" s="43" t="n">
        <x:v>0</x:v>
      </x:c>
      <x:c r="X33" s="43" t="n">
        <x:v>0</x:v>
      </x:c>
      <x:c r="Y33" s="43" t="n">
        <x:v>0</x:v>
      </x:c>
      <x:c r="Z33" s="43" t="n">
        <x:v>0</x:v>
      </x:c>
      <x:c r="AA33" s="43" t="n">
        <x:v>0</x:v>
      </x:c>
      <x:c r="AB33" s="43" t="n">
        <x:v>0</x:v>
      </x:c>
      <x:c r="AC33" s="43" t="n">
        <x:v>1</x:v>
      </x:c>
      <x:c r="AD33" s="43" t="n">
        <x:v>0</x:v>
      </x:c>
      <x:c r="AE33" s="43" t="n">
        <x:v>1</x:v>
      </x:c>
      <x:c r="AF33" s="43" t="n">
        <x:v>0</x:v>
      </x:c>
      <x:c r="AG33" s="43" t="n">
        <x:v>0</x:v>
      </x:c>
      <x:c r="AH33" s="43" t="n">
        <x:v>0</x:v>
      </x:c>
      <x:c r="AI33" s="43" t="n">
        <x:v>0</x:v>
      </x:c>
      <x:c r="AJ33" s="43" t="n">
        <x:v>0</x:v>
      </x:c>
      <x:c r="AK33" s="43" t="n">
        <x:v>0</x:v>
      </x:c>
      <x:c r="AL33" s="43" t="n">
        <x:v>0</x:v>
      </x:c>
      <x:c r="AM33" s="43" t="n">
        <x:v>2</x:v>
      </x:c>
      <x:c r="AN33" s="43" t="n">
        <x:v>0</x:v>
      </x:c>
      <x:c r="AO33" s="43" t="n">
        <x:v>0</x:v>
      </x:c>
      <x:c r="AP33" s="43" t="n">
        <x:v>0</x:v>
      </x:c>
      <x:c r="AQ33" s="43" t="n">
        <x:v>0</x:v>
      </x:c>
      <x:c r="AR33" s="43" t="n">
        <x:v>1</x:v>
      </x:c>
      <x:c r="AS33" s="43" t="n">
        <x:v>0</x:v>
      </x:c>
      <x:c r="AT33" s="43" t="n">
        <x:v>1</x:v>
      </x:c>
      <x:c r="AU33" s="43" t="n">
        <x:v>0</x:v>
      </x:c>
      <x:c r="AV33" s="43" t="n">
        <x:v>0</x:v>
      </x:c>
    </x:row>
    <x:row r="34">
      <x:c r="A34" s="42" t="str">
        <x:v>P33</x:v>
      </x:c>
      <x:c r="B34" s="42" t="n">
        <x:v>1</x:v>
      </x:c>
      <x:c r="C34" s="42" t="n">
        <x:v>0</x:v>
      </x:c>
      <x:c r="D34" s="42" t="n">
        <x:v>1</x:v>
      </x:c>
      <x:c r="E34" s="42" t="n">
        <x:v>1</x:v>
      </x:c>
      <x:c r="F34" s="42" t="n">
        <x:v>0</x:v>
      </x:c>
      <x:c r="G34" s="42" t="n">
        <x:v>0</x:v>
      </x:c>
      <x:c r="H34" s="42" t="n">
        <x:v>1</x:v>
      </x:c>
      <x:c r="I34" s="42" t="n">
        <x:v>2</x:v>
      </x:c>
      <x:c r="J34" s="42" t="n">
        <x:v>0</x:v>
      </x:c>
      <x:c r="K34" s="42" t="n">
        <x:v>0</x:v>
      </x:c>
      <x:c r="L34" s="42" t="n">
        <x:v>1</x:v>
      </x:c>
      <x:c r="M34" s="42" t="n">
        <x:v>1</x:v>
      </x:c>
      <x:c r="N34" s="42" t="n">
        <x:v>0</x:v>
      </x:c>
      <x:c r="O34" s="42" t="n">
        <x:v>0</x:v>
      </x:c>
      <x:c r="P34" s="42" t="n">
        <x:v>1</x:v>
      </x:c>
      <x:c r="Q34" s="42" t="n">
        <x:v>1</x:v>
      </x:c>
      <x:c r="R34" s="42" t="n">
        <x:v>0</x:v>
      </x:c>
      <x:c r="S34" s="42" t="n">
        <x:v>0</x:v>
      </x:c>
      <x:c r="T34" s="42" t="n">
        <x:v>1</x:v>
      </x:c>
      <x:c r="U34" s="42" t="n">
        <x:v>2</x:v>
      </x:c>
      <x:c r="V34" s="42" t="n">
        <x:v>1</x:v>
      </x:c>
      <x:c r="W34" s="42" t="n">
        <x:v>0</x:v>
      </x:c>
      <x:c r="X34" s="42" t="n">
        <x:v>0</x:v>
      </x:c>
      <x:c r="Y34" s="42" t="n">
        <x:v>0</x:v>
      </x:c>
      <x:c r="Z34" s="42" t="n">
        <x:v>2</x:v>
      </x:c>
      <x:c r="AA34" s="42" t="n">
        <x:v>0</x:v>
      </x:c>
      <x:c r="AB34" s="42" t="n">
        <x:v>0</x:v>
      </x:c>
      <x:c r="AC34" s="42" t="n">
        <x:v>0</x:v>
      </x:c>
      <x:c r="AD34" s="42" t="n">
        <x:v>0</x:v>
      </x:c>
      <x:c r="AE34" s="42" t="n">
        <x:v>1</x:v>
      </x:c>
      <x:c r="AF34" s="42" t="n">
        <x:v>0</x:v>
      </x:c>
      <x:c r="AG34" s="42" t="n">
        <x:v>2</x:v>
      </x:c>
      <x:c r="AH34" s="42" t="n">
        <x:v>1</x:v>
      </x:c>
      <x:c r="AI34" s="42" t="n">
        <x:v>0</x:v>
      </x:c>
      <x:c r="AJ34" s="42" t="n">
        <x:v>1</x:v>
      </x:c>
      <x:c r="AK34" s="42" t="n">
        <x:v>0</x:v>
      </x:c>
      <x:c r="AL34" s="42" t="n">
        <x:v>0</x:v>
      </x:c>
      <x:c r="AM34" s="42" t="n">
        <x:v>3</x:v>
      </x:c>
      <x:c r="AN34" s="42" t="n">
        <x:v>0</x:v>
      </x:c>
      <x:c r="AO34" s="42" t="n">
        <x:v>0</x:v>
      </x:c>
      <x:c r="AP34" s="42" t="n">
        <x:v>0</x:v>
      </x:c>
      <x:c r="AQ34" s="42" t="n">
        <x:v>1</x:v>
      </x:c>
      <x:c r="AR34" s="42" t="n">
        <x:v>1</x:v>
      </x:c>
      <x:c r="AS34" s="42" t="n">
        <x:v>0</x:v>
      </x:c>
      <x:c r="AT34" s="42" t="n">
        <x:v>0</x:v>
      </x:c>
      <x:c r="AU34" s="42" t="n">
        <x:v>1</x:v>
      </x:c>
      <x:c r="AV34" s="42" t="n">
        <x:v>1</x:v>
      </x:c>
    </x:row>
    <x:row r="35">
      <x:c r="A35" s="43" t="str">
        <x:v>P34</x:v>
      </x:c>
      <x:c r="B35" s="43" t="n">
        <x:v>2</x:v>
      </x:c>
      <x:c r="C35" s="43" t="n">
        <x:v>1</x:v>
      </x:c>
      <x:c r="D35" s="43" t="n">
        <x:v>1</x:v>
      </x:c>
      <x:c r="E35" s="43" t="n">
        <x:v>1</x:v>
      </x:c>
      <x:c r="F35" s="43" t="n">
        <x:v>0</x:v>
      </x:c>
      <x:c r="G35" s="43" t="n">
        <x:v>0</x:v>
      </x:c>
      <x:c r="H35" s="43" t="n">
        <x:v>0</x:v>
      </x:c>
      <x:c r="I35" s="43" t="n">
        <x:v>2</x:v>
      </x:c>
      <x:c r="J35" s="43" t="n">
        <x:v>0</x:v>
      </x:c>
      <x:c r="K35" s="43" t="n">
        <x:v>0</x:v>
      </x:c>
      <x:c r="L35" s="43" t="n">
        <x:v>1</x:v>
      </x:c>
      <x:c r="M35" s="43" t="n">
        <x:v>0</x:v>
      </x:c>
      <x:c r="N35" s="43" t="n">
        <x:v>0</x:v>
      </x:c>
      <x:c r="O35" s="43" t="n">
        <x:v>0</x:v>
      </x:c>
      <x:c r="P35" s="43" t="n">
        <x:v>1</x:v>
      </x:c>
      <x:c r="Q35" s="43" t="n">
        <x:v>2</x:v>
      </x:c>
      <x:c r="R35" s="43" t="n">
        <x:v>0</x:v>
      </x:c>
      <x:c r="S35" s="43" t="n">
        <x:v>0</x:v>
      </x:c>
      <x:c r="T35" s="43" t="n">
        <x:v>1</x:v>
      </x:c>
      <x:c r="U35" s="43" t="n">
        <x:v>2</x:v>
      </x:c>
      <x:c r="V35" s="43" t="n">
        <x:v>1</x:v>
      </x:c>
      <x:c r="W35" s="43" t="n">
        <x:v>1</x:v>
      </x:c>
      <x:c r="X35" s="43" t="n">
        <x:v>1</x:v>
      </x:c>
      <x:c r="Y35" s="43" t="n">
        <x:v>1</x:v>
      </x:c>
      <x:c r="Z35" s="43" t="n">
        <x:v>1</x:v>
      </x:c>
      <x:c r="AA35" s="43" t="n">
        <x:v>1</x:v>
      </x:c>
      <x:c r="AB35" s="43" t="n">
        <x:v>1</x:v>
      </x:c>
      <x:c r="AC35" s="43" t="n">
        <x:v>1</x:v>
      </x:c>
      <x:c r="AD35" s="43" t="n">
        <x:v>0</x:v>
      </x:c>
      <x:c r="AE35" s="43" t="n">
        <x:v>2</x:v>
      </x:c>
      <x:c r="AF35" s="43" t="n">
        <x:v>0</x:v>
      </x:c>
      <x:c r="AG35" s="43" t="n">
        <x:v>1</x:v>
      </x:c>
      <x:c r="AH35" s="43" t="n">
        <x:v>0</x:v>
      </x:c>
      <x:c r="AI35" s="43" t="n">
        <x:v>0</x:v>
      </x:c>
      <x:c r="AJ35" s="43" t="n">
        <x:v>1</x:v>
      </x:c>
      <x:c r="AK35" s="43" t="n">
        <x:v>1</x:v>
      </x:c>
      <x:c r="AL35" s="43" t="n">
        <x:v>0</x:v>
      </x:c>
      <x:c r="AM35" s="43" t="n">
        <x:v>0</x:v>
      </x:c>
      <x:c r="AN35" s="43" t="n">
        <x:v>0</x:v>
      </x:c>
      <x:c r="AO35" s="43" t="n">
        <x:v>1</x:v>
      </x:c>
      <x:c r="AP35" s="43" t="n">
        <x:v>0</x:v>
      </x:c>
      <x:c r="AQ35" s="43" t="n">
        <x:v>0</x:v>
      </x:c>
      <x:c r="AR35" s="43" t="n">
        <x:v>1</x:v>
      </x:c>
      <x:c r="AS35" s="43" t="n">
        <x:v>0</x:v>
      </x:c>
      <x:c r="AT35" s="43" t="n">
        <x:v>0</x:v>
      </x:c>
      <x:c r="AU35" s="43" t="n">
        <x:v>0</x:v>
      </x:c>
      <x:c r="AV35" s="43" t="n">
        <x:v>1</x:v>
      </x:c>
    </x:row>
    <x:row r="36">
      <x:c r="A36" s="42" t="str">
        <x:v>P35</x:v>
      </x:c>
      <x:c r="B36" s="42" t="n">
        <x:v>2</x:v>
      </x:c>
      <x:c r="C36" s="42" t="n">
        <x:v>1</x:v>
      </x:c>
      <x:c r="D36" s="42" t="n">
        <x:v>2</x:v>
      </x:c>
      <x:c r="E36" s="42" t="n">
        <x:v>1</x:v>
      </x:c>
      <x:c r="F36" s="42" t="n">
        <x:v>0</x:v>
      </x:c>
      <x:c r="G36" s="42" t="n">
        <x:v>0</x:v>
      </x:c>
      <x:c r="H36" s="42" t="n">
        <x:v>0</x:v>
      </x:c>
      <x:c r="I36" s="42" t="n">
        <x:v>3</x:v>
      </x:c>
      <x:c r="J36" s="42" t="n">
        <x:v>0</x:v>
      </x:c>
      <x:c r="K36" s="42" t="n">
        <x:v>1</x:v>
      </x:c>
      <x:c r="L36" s="42" t="n">
        <x:v>1</x:v>
      </x:c>
      <x:c r="M36" s="42" t="n">
        <x:v>0</x:v>
      </x:c>
      <x:c r="N36" s="42" t="n">
        <x:v>0</x:v>
      </x:c>
      <x:c r="O36" s="42" t="n">
        <x:v>1</x:v>
      </x:c>
      <x:c r="P36" s="42" t="n">
        <x:v>0</x:v>
      </x:c>
      <x:c r="Q36" s="42" t="n">
        <x:v>0</x:v>
      </x:c>
      <x:c r="R36" s="42" t="n">
        <x:v>0</x:v>
      </x:c>
      <x:c r="S36" s="42" t="n">
        <x:v>1</x:v>
      </x:c>
      <x:c r="T36" s="42" t="n">
        <x:v>1</x:v>
      </x:c>
      <x:c r="U36" s="42" t="n">
        <x:v>1</x:v>
      </x:c>
      <x:c r="V36" s="42" t="n">
        <x:v>1</x:v>
      </x:c>
      <x:c r="W36" s="42" t="n">
        <x:v>0</x:v>
      </x:c>
      <x:c r="X36" s="42" t="n">
        <x:v>0</x:v>
      </x:c>
      <x:c r="Y36" s="42" t="n">
        <x:v>2</x:v>
      </x:c>
      <x:c r="Z36" s="42" t="n">
        <x:v>1</x:v>
      </x:c>
      <x:c r="AA36" s="42" t="n">
        <x:v>2</x:v>
      </x:c>
      <x:c r="AB36" s="42" t="n">
        <x:v>1</x:v>
      </x:c>
      <x:c r="AC36" s="42" t="n">
        <x:v>2</x:v>
      </x:c>
      <x:c r="AD36" s="42" t="n">
        <x:v>1</x:v>
      </x:c>
      <x:c r="AE36" s="42" t="n">
        <x:v>1</x:v>
      </x:c>
      <x:c r="AF36" s="42" t="n">
        <x:v>0</x:v>
      </x:c>
      <x:c r="AG36" s="42" t="n">
        <x:v>1</x:v>
      </x:c>
      <x:c r="AH36" s="42" t="n">
        <x:v>0</x:v>
      </x:c>
      <x:c r="AI36" s="42" t="n">
        <x:v>0</x:v>
      </x:c>
      <x:c r="AJ36" s="42" t="n">
        <x:v>1</x:v>
      </x:c>
      <x:c r="AK36" s="42" t="n">
        <x:v>0</x:v>
      </x:c>
      <x:c r="AL36" s="42" t="n">
        <x:v>1</x:v>
      </x:c>
      <x:c r="AM36" s="42" t="n">
        <x:v>0</x:v>
      </x:c>
      <x:c r="AN36" s="42" t="n">
        <x:v>1</x:v>
      </x:c>
      <x:c r="AO36" s="42" t="n">
        <x:v>2</x:v>
      </x:c>
      <x:c r="AP36" s="42" t="n">
        <x:v>1</x:v>
      </x:c>
      <x:c r="AQ36" s="42" t="n">
        <x:v>0</x:v>
      </x:c>
      <x:c r="AR36" s="42" t="n">
        <x:v>1</x:v>
      </x:c>
      <x:c r="AS36" s="42" t="n">
        <x:v>0</x:v>
      </x:c>
      <x:c r="AT36" s="42" t="n">
        <x:v>1</x:v>
      </x:c>
      <x:c r="AU36" s="42" t="n">
        <x:v>0</x:v>
      </x:c>
      <x:c r="AV36" s="42" t="n">
        <x:v>1</x:v>
      </x:c>
    </x:row>
    <x:row r="37">
      <x:c r="A37" s="43" t="str">
        <x:v>P36</x:v>
      </x:c>
      <x:c r="B37" s="43" t="n">
        <x:v>3</x:v>
      </x:c>
      <x:c r="C37" s="43" t="n">
        <x:v>2</x:v>
      </x:c>
      <x:c r="D37" s="43" t="n">
        <x:v>3</x:v>
      </x:c>
      <x:c r="E37" s="43" t="n">
        <x:v>3</x:v>
      </x:c>
      <x:c r="F37" s="43" t="n">
        <x:v>2</x:v>
      </x:c>
      <x:c r="G37" s="43" t="n">
        <x:v>1</x:v>
      </x:c>
      <x:c r="H37" s="43" t="n">
        <x:v>2</x:v>
      </x:c>
      <x:c r="I37" s="43" t="n">
        <x:v>1</x:v>
      </x:c>
      <x:c r="J37" s="43" t="n">
        <x:v>0</x:v>
      </x:c>
      <x:c r="K37" s="43" t="n">
        <x:v>1</x:v>
      </x:c>
      <x:c r="L37" s="43" t="n">
        <x:v>3</x:v>
      </x:c>
      <x:c r="M37" s="43" t="n">
        <x:v>1</x:v>
      </x:c>
      <x:c r="N37" s="43" t="n">
        <x:v>1</x:v>
      </x:c>
      <x:c r="O37" s="43" t="n">
        <x:v>1</x:v>
      </x:c>
      <x:c r="P37" s="43" t="n">
        <x:v>3</x:v>
      </x:c>
      <x:c r="Q37" s="43" t="n">
        <x:v>1</x:v>
      </x:c>
      <x:c r="R37" s="43" t="n">
        <x:v>1</x:v>
      </x:c>
      <x:c r="S37" s="43" t="n">
        <x:v>1</x:v>
      </x:c>
      <x:c r="T37" s="43" t="n">
        <x:v>1</x:v>
      </x:c>
      <x:c r="U37" s="43" t="n">
        <x:v>2</x:v>
      </x:c>
      <x:c r="V37" s="43" t="n">
        <x:v>3</x:v>
      </x:c>
      <x:c r="W37" s="43" t="n">
        <x:v>2</x:v>
      </x:c>
      <x:c r="X37" s="43" t="n">
        <x:v>2</x:v>
      </x:c>
      <x:c r="Y37" s="43" t="n">
        <x:v>2</x:v>
      </x:c>
      <x:c r="Z37" s="43" t="n">
        <x:v>2</x:v>
      </x:c>
      <x:c r="AA37" s="43" t="n">
        <x:v>2</x:v>
      </x:c>
      <x:c r="AB37" s="43" t="n">
        <x:v>2</x:v>
      </x:c>
      <x:c r="AC37" s="43" t="n">
        <x:v>3</x:v>
      </x:c>
      <x:c r="AD37" s="43" t="n">
        <x:v>2</x:v>
      </x:c>
      <x:c r="AE37" s="43" t="n">
        <x:v>3</x:v>
      </x:c>
      <x:c r="AF37" s="43" t="n">
        <x:v>0</x:v>
      </x:c>
      <x:c r="AG37" s="43" t="n">
        <x:v>3</x:v>
      </x:c>
      <x:c r="AH37" s="43" t="n">
        <x:v>2</x:v>
      </x:c>
      <x:c r="AI37" s="43" t="n">
        <x:v>2</x:v>
      </x:c>
      <x:c r="AJ37" s="43" t="n">
        <x:v>3</x:v>
      </x:c>
      <x:c r="AK37" s="43" t="n">
        <x:v>1</x:v>
      </x:c>
      <x:c r="AL37" s="43" t="n">
        <x:v>1</x:v>
      </x:c>
      <x:c r="AM37" s="43" t="n">
        <x:v>3</x:v>
      </x:c>
      <x:c r="AN37" s="43" t="n">
        <x:v>1</x:v>
      </x:c>
      <x:c r="AO37" s="43" t="n">
        <x:v>1</x:v>
      </x:c>
      <x:c r="AP37" s="43" t="n">
        <x:v>2</x:v>
      </x:c>
      <x:c r="AQ37" s="43" t="n">
        <x:v>0</x:v>
      </x:c>
      <x:c r="AR37" s="43" t="n">
        <x:v>3</x:v>
      </x:c>
      <x:c r="AS37" s="43" t="n">
        <x:v>1</x:v>
      </x:c>
      <x:c r="AT37" s="43" t="n">
        <x:v>2</x:v>
      </x:c>
      <x:c r="AU37" s="43" t="n">
        <x:v>1</x:v>
      </x:c>
      <x:c r="AV37" s="43" t="n">
        <x:v>2</x:v>
      </x:c>
    </x:row>
    <x:row r="38">
      <x:c r="A38" s="42" t="str">
        <x:v>P37</x:v>
      </x:c>
      <x:c r="B38" s="42" t="n">
        <x:v>1</x:v>
      </x:c>
      <x:c r="C38" s="42" t="n">
        <x:v>1</x:v>
      </x:c>
      <x:c r="D38" s="42" t="n">
        <x:v>0</x:v>
      </x:c>
      <x:c r="E38" s="42" t="n">
        <x:v>2</x:v>
      </x:c>
      <x:c r="F38" s="42" t="n">
        <x:v>0</x:v>
      </x:c>
      <x:c r="G38" s="42" t="n">
        <x:v>1</x:v>
      </x:c>
      <x:c r="H38" s="42" t="n">
        <x:v>0</x:v>
      </x:c>
      <x:c r="I38" s="42" t="n">
        <x:v>0</x:v>
      </x:c>
      <x:c r="J38" s="42" t="n">
        <x:v>0</x:v>
      </x:c>
      <x:c r="K38" s="42" t="n">
        <x:v>0</x:v>
      </x:c>
      <x:c r="L38" s="42" t="n">
        <x:v>1</x:v>
      </x:c>
      <x:c r="M38" s="42" t="n">
        <x:v>0</x:v>
      </x:c>
      <x:c r="N38" s="42" t="n">
        <x:v>1</x:v>
      </x:c>
      <x:c r="O38" s="42" t="n">
        <x:v>0</x:v>
      </x:c>
      <x:c r="P38" s="42" t="n">
        <x:v>0</x:v>
      </x:c>
      <x:c r="Q38" s="42" t="n">
        <x:v>0</x:v>
      </x:c>
      <x:c r="R38" s="42" t="n">
        <x:v>0</x:v>
      </x:c>
      <x:c r="S38" s="42" t="n">
        <x:v>0</x:v>
      </x:c>
      <x:c r="T38" s="42" t="n">
        <x:v>1</x:v>
      </x:c>
      <x:c r="U38" s="42" t="n">
        <x:v>1</x:v>
      </x:c>
      <x:c r="V38" s="42" t="n">
        <x:v>0</x:v>
      </x:c>
      <x:c r="W38" s="42" t="n">
        <x:v>1</x:v>
      </x:c>
      <x:c r="X38" s="42" t="n">
        <x:v>1</x:v>
      </x:c>
      <x:c r="Y38" s="42" t="n">
        <x:v>2</x:v>
      </x:c>
      <x:c r="Z38" s="42" t="n">
        <x:v>1</x:v>
      </x:c>
      <x:c r="AA38" s="42" t="n">
        <x:v>1</x:v>
      </x:c>
      <x:c r="AB38" s="42" t="n">
        <x:v>1</x:v>
      </x:c>
      <x:c r="AC38" s="42" t="n">
        <x:v>1</x:v>
      </x:c>
      <x:c r="AD38" s="42" t="n">
        <x:v>1</x:v>
      </x:c>
      <x:c r="AE38" s="42" t="n">
        <x:v>2</x:v>
      </x:c>
      <x:c r="AF38" s="42" t="n">
        <x:v>0</x:v>
      </x:c>
      <x:c r="AG38" s="42" t="n">
        <x:v>3</x:v>
      </x:c>
      <x:c r="AH38" s="42" t="n">
        <x:v>0</x:v>
      </x:c>
      <x:c r="AI38" s="42" t="n">
        <x:v>0</x:v>
      </x:c>
      <x:c r="AJ38" s="42" t="n">
        <x:v>1</x:v>
      </x:c>
      <x:c r="AK38" s="42" t="n">
        <x:v>0</x:v>
      </x:c>
      <x:c r="AL38" s="42" t="n">
        <x:v>1</x:v>
      </x:c>
      <x:c r="AM38" s="42" t="n">
        <x:v>2</x:v>
      </x:c>
      <x:c r="AN38" s="42" t="n">
        <x:v>1</x:v>
      </x:c>
      <x:c r="AO38" s="42" t="n">
        <x:v>2</x:v>
      </x:c>
      <x:c r="AP38" s="42" t="n">
        <x:v>1</x:v>
      </x:c>
      <x:c r="AQ38" s="42" t="n">
        <x:v>1</x:v>
      </x:c>
      <x:c r="AR38" s="42" t="n">
        <x:v>2</x:v>
      </x:c>
      <x:c r="AS38" s="42" t="n">
        <x:v>0</x:v>
      </x:c>
      <x:c r="AT38" s="42" t="n">
        <x:v>1</x:v>
      </x:c>
      <x:c r="AU38" s="42" t="n">
        <x:v>0</x:v>
      </x:c>
      <x:c r="AV38" s="42" t="n">
        <x:v>1</x:v>
      </x:c>
    </x:row>
    <x:row r="39">
      <x:c r="A39" s="43" t="str">
        <x:v>P38</x:v>
      </x:c>
      <x:c r="B39" s="43" t="n">
        <x:v>1</x:v>
      </x:c>
      <x:c r="C39" s="43" t="n">
        <x:v>1</x:v>
      </x:c>
      <x:c r="D39" s="43" t="n">
        <x:v>0</x:v>
      </x:c>
      <x:c r="E39" s="43" t="n">
        <x:v>1</x:v>
      </x:c>
      <x:c r="F39" s="43" t="n">
        <x:v>0</x:v>
      </x:c>
      <x:c r="G39" s="43" t="n">
        <x:v>1</x:v>
      </x:c>
      <x:c r="H39" s="43" t="n">
        <x:v>0</x:v>
      </x:c>
      <x:c r="I39" s="43" t="n">
        <x:v>0</x:v>
      </x:c>
      <x:c r="J39" s="43" t="n">
        <x:v>0</x:v>
      </x:c>
      <x:c r="K39" s="43" t="n">
        <x:v>0</x:v>
      </x:c>
      <x:c r="L39" s="43" t="n">
        <x:v>1</x:v>
      </x:c>
      <x:c r="M39" s="43" t="n">
        <x:v>0</x:v>
      </x:c>
      <x:c r="N39" s="43" t="n">
        <x:v>0</x:v>
      </x:c>
      <x:c r="O39" s="43" t="n">
        <x:v>0</x:v>
      </x:c>
      <x:c r="P39" s="43" t="n">
        <x:v>0</x:v>
      </x:c>
      <x:c r="Q39" s="43" t="n">
        <x:v>0</x:v>
      </x:c>
      <x:c r="R39" s="43" t="n">
        <x:v>0</x:v>
      </x:c>
      <x:c r="S39" s="43" t="n">
        <x:v>0</x:v>
      </x:c>
      <x:c r="T39" s="43" t="n">
        <x:v>1</x:v>
      </x:c>
      <x:c r="U39" s="43" t="n">
        <x:v>0</x:v>
      </x:c>
      <x:c r="V39" s="43" t="n">
        <x:v>1</x:v>
      </x:c>
      <x:c r="W39" s="43" t="n">
        <x:v>0</x:v>
      </x:c>
      <x:c r="X39" s="43" t="n">
        <x:v>0</x:v>
      </x:c>
      <x:c r="Y39" s="43" t="n">
        <x:v>0</x:v>
      </x:c>
      <x:c r="Z39" s="43" t="n">
        <x:v>1</x:v>
      </x:c>
      <x:c r="AA39" s="43" t="n">
        <x:v>0</x:v>
      </x:c>
      <x:c r="AB39" s="43" t="n">
        <x:v>0</x:v>
      </x:c>
      <x:c r="AC39" s="43" t="n">
        <x:v>0</x:v>
      </x:c>
      <x:c r="AD39" s="43" t="n">
        <x:v>0</x:v>
      </x:c>
      <x:c r="AE39" s="43" t="n">
        <x:v>1</x:v>
      </x:c>
      <x:c r="AF39" s="43"/>
      <x:c r="AG39" s="43" t="n">
        <x:v>0</x:v>
      </x:c>
      <x:c r="AH39" s="43" t="n">
        <x:v>0</x:v>
      </x:c>
      <x:c r="AI39" s="43" t="n">
        <x:v>0</x:v>
      </x:c>
      <x:c r="AJ39" s="43" t="n">
        <x:v>1</x:v>
      </x:c>
      <x:c r="AK39" s="43" t="n">
        <x:v>1</x:v>
      </x:c>
      <x:c r="AL39" s="43" t="n">
        <x:v>0</x:v>
      </x:c>
      <x:c r="AM39" s="43" t="n">
        <x:v>1</x:v>
      </x:c>
      <x:c r="AN39" s="43" t="n">
        <x:v>0</x:v>
      </x:c>
      <x:c r="AO39" s="43" t="n">
        <x:v>1</x:v>
      </x:c>
      <x:c r="AP39" s="43" t="n">
        <x:v>0</x:v>
      </x:c>
      <x:c r="AQ39" s="43" t="n">
        <x:v>0</x:v>
      </x:c>
      <x:c r="AR39" s="43" t="n">
        <x:v>1</x:v>
      </x:c>
      <x:c r="AS39" s="43" t="n">
        <x:v>0</x:v>
      </x:c>
      <x:c r="AT39" s="43" t="n">
        <x:v>0</x:v>
      </x:c>
      <x:c r="AU39" s="43" t="n">
        <x:v>0</x:v>
      </x:c>
      <x:c r="AV39" s="43" t="n">
        <x:v>0</x:v>
      </x:c>
    </x:row>
    <x:row r="40">
      <x:c r="A40" s="42" t="str">
        <x:v>P39</x:v>
      </x:c>
      <x:c r="B40" s="42" t="n">
        <x:v>1</x:v>
      </x:c>
      <x:c r="C40" s="42" t="n">
        <x:v>1</x:v>
      </x:c>
      <x:c r="D40" s="42" t="n">
        <x:v>0</x:v>
      </x:c>
      <x:c r="E40" s="42" t="n">
        <x:v>1</x:v>
      </x:c>
      <x:c r="F40" s="42" t="n">
        <x:v>1</x:v>
      </x:c>
      <x:c r="G40" s="42" t="n">
        <x:v>0</x:v>
      </x:c>
      <x:c r="H40" s="42" t="n">
        <x:v>0</x:v>
      </x:c>
      <x:c r="I40" s="42" t="n">
        <x:v>1</x:v>
      </x:c>
      <x:c r="J40" s="42" t="n">
        <x:v>1</x:v>
      </x:c>
      <x:c r="K40" s="42" t="n">
        <x:v>0</x:v>
      </x:c>
      <x:c r="L40" s="42" t="n">
        <x:v>0</x:v>
      </x:c>
      <x:c r="M40" s="42" t="n">
        <x:v>1</x:v>
      </x:c>
      <x:c r="N40" s="42" t="n">
        <x:v>1</x:v>
      </x:c>
      <x:c r="O40" s="42" t="n">
        <x:v>0</x:v>
      </x:c>
      <x:c r="P40" s="42" t="n">
        <x:v>0</x:v>
      </x:c>
      <x:c r="Q40" s="42" t="n">
        <x:v>1</x:v>
      </x:c>
      <x:c r="R40" s="42" t="n">
        <x:v>1</x:v>
      </x:c>
      <x:c r="S40" s="42" t="n">
        <x:v>0</x:v>
      </x:c>
      <x:c r="T40" s="42" t="n">
        <x:v>0</x:v>
      </x:c>
      <x:c r="U40" s="42" t="n">
        <x:v>1</x:v>
      </x:c>
      <x:c r="V40" s="42" t="n">
        <x:v>1</x:v>
      </x:c>
      <x:c r="W40" s="42" t="n">
        <x:v>0</x:v>
      </x:c>
      <x:c r="X40" s="42" t="n">
        <x:v>0</x:v>
      </x:c>
      <x:c r="Y40" s="42" t="n">
        <x:v>0</x:v>
      </x:c>
      <x:c r="Z40" s="42" t="n">
        <x:v>1</x:v>
      </x:c>
      <x:c r="AA40" s="42" t="n">
        <x:v>1</x:v>
      </x:c>
      <x:c r="AB40" s="42" t="n">
        <x:v>1</x:v>
      </x:c>
      <x:c r="AC40" s="42" t="n">
        <x:v>1</x:v>
      </x:c>
      <x:c r="AD40" s="42" t="n">
        <x:v>0</x:v>
      </x:c>
      <x:c r="AE40" s="42" t="n">
        <x:v>1</x:v>
      </x:c>
      <x:c r="AF40" s="42" t="n">
        <x:v>0</x:v>
      </x:c>
      <x:c r="AG40" s="42" t="n">
        <x:v>2</x:v>
      </x:c>
      <x:c r="AH40" s="42" t="n">
        <x:v>0</x:v>
      </x:c>
      <x:c r="AI40" s="42" t="n">
        <x:v>1</x:v>
      </x:c>
      <x:c r="AJ40" s="42" t="n">
        <x:v>1</x:v>
      </x:c>
      <x:c r="AK40" s="42" t="n">
        <x:v>0</x:v>
      </x:c>
      <x:c r="AL40" s="42" t="n">
        <x:v>0</x:v>
      </x:c>
      <x:c r="AM40" s="42" t="n">
        <x:v>1</x:v>
      </x:c>
      <x:c r="AN40" s="42" t="n">
        <x:v>0</x:v>
      </x:c>
      <x:c r="AO40" s="42" t="n">
        <x:v>0</x:v>
      </x:c>
      <x:c r="AP40" s="42" t="n">
        <x:v>1</x:v>
      </x:c>
      <x:c r="AQ40" s="42" t="n">
        <x:v>0</x:v>
      </x:c>
      <x:c r="AR40" s="42" t="n">
        <x:v>1</x:v>
      </x:c>
      <x:c r="AS40" s="42" t="n">
        <x:v>0</x:v>
      </x:c>
      <x:c r="AT40" s="42" t="n">
        <x:v>1</x:v>
      </x:c>
      <x:c r="AU40" s="42" t="n">
        <x:v>0</x:v>
      </x:c>
      <x:c r="AV40" s="42" t="n">
        <x:v>1</x:v>
      </x:c>
    </x:row>
    <x:row r="41">
      <x:c r="A41" s="43" t="str">
        <x:v>P40</x:v>
      </x:c>
      <x:c r="B41" s="43" t="n">
        <x:v>3</x:v>
      </x:c>
      <x:c r="C41" s="43" t="n">
        <x:v>1</x:v>
      </x:c>
      <x:c r="D41" s="43" t="n">
        <x:v>1</x:v>
      </x:c>
      <x:c r="E41" s="43" t="n">
        <x:v>1</x:v>
      </x:c>
      <x:c r="F41" s="43" t="n">
        <x:v>0</x:v>
      </x:c>
      <x:c r="G41" s="43" t="n">
        <x:v>1</x:v>
      </x:c>
      <x:c r="H41" s="43" t="n">
        <x:v>1</x:v>
      </x:c>
      <x:c r="I41" s="43" t="n">
        <x:v>1</x:v>
      </x:c>
      <x:c r="J41" s="43" t="n">
        <x:v>1</x:v>
      </x:c>
      <x:c r="K41" s="43" t="n">
        <x:v>2</x:v>
      </x:c>
      <x:c r="L41" s="43" t="n">
        <x:v>1</x:v>
      </x:c>
      <x:c r="M41" s="43" t="n">
        <x:v>1</x:v>
      </x:c>
      <x:c r="N41" s="43" t="n">
        <x:v>3</x:v>
      </x:c>
      <x:c r="O41" s="43" t="n">
        <x:v>1</x:v>
      </x:c>
      <x:c r="P41" s="43" t="n">
        <x:v>1</x:v>
      </x:c>
      <x:c r="Q41" s="43" t="n">
        <x:v>2</x:v>
      </x:c>
      <x:c r="R41" s="43" t="n">
        <x:v>0</x:v>
      </x:c>
      <x:c r="S41" s="43" t="n">
        <x:v>0</x:v>
      </x:c>
      <x:c r="T41" s="43" t="n">
        <x:v>1</x:v>
      </x:c>
      <x:c r="U41" s="43" t="n">
        <x:v>2</x:v>
      </x:c>
      <x:c r="V41" s="43" t="n">
        <x:v>2</x:v>
      </x:c>
      <x:c r="W41" s="43" t="n">
        <x:v>2</x:v>
      </x:c>
      <x:c r="X41" s="43" t="n">
        <x:v>2</x:v>
      </x:c>
      <x:c r="Y41" s="43" t="n">
        <x:v>1</x:v>
      </x:c>
      <x:c r="Z41" s="43" t="n">
        <x:v>2</x:v>
      </x:c>
      <x:c r="AA41" s="43" t="n">
        <x:v>0</x:v>
      </x:c>
      <x:c r="AB41" s="43" t="n">
        <x:v>2</x:v>
      </x:c>
      <x:c r="AC41" s="43" t="n">
        <x:v>0</x:v>
      </x:c>
      <x:c r="AD41" s="43" t="n">
        <x:v>1</x:v>
      </x:c>
      <x:c r="AE41" s="43" t="n">
        <x:v>2</x:v>
      </x:c>
      <x:c r="AF41" s="43" t="n">
        <x:v>2</x:v>
      </x:c>
      <x:c r="AG41" s="43" t="n">
        <x:v>2</x:v>
      </x:c>
      <x:c r="AH41" s="43" t="n">
        <x:v>1</x:v>
      </x:c>
      <x:c r="AI41" s="43" t="n">
        <x:v>1</x:v>
      </x:c>
      <x:c r="AJ41" s="43" t="n">
        <x:v>2</x:v>
      </x:c>
      <x:c r="AK41" s="43" t="n">
        <x:v>0</x:v>
      </x:c>
      <x:c r="AL41" s="43" t="n">
        <x:v>1</x:v>
      </x:c>
      <x:c r="AM41" s="43" t="n">
        <x:v>2</x:v>
      </x:c>
      <x:c r="AN41" s="43" t="n">
        <x:v>1</x:v>
      </x:c>
      <x:c r="AO41" s="43" t="n">
        <x:v>1</x:v>
      </x:c>
      <x:c r="AP41" s="43" t="n">
        <x:v>2</x:v>
      </x:c>
      <x:c r="AQ41" s="43" t="n">
        <x:v>2</x:v>
      </x:c>
      <x:c r="AR41" s="43" t="n">
        <x:v>2</x:v>
      </x:c>
      <x:c r="AS41" s="43" t="n">
        <x:v>3</x:v>
      </x:c>
      <x:c r="AT41" s="43" t="n">
        <x:v>1</x:v>
      </x:c>
      <x:c r="AU41" s="43" t="n">
        <x:v>1</x:v>
      </x:c>
      <x:c r="AV41" s="43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62" hidden="0" customWidth="1"/>
    <x:col min="4" max="4" width="72" hidden="0" customWidth="1"/>
  </x:cols>
  <x:sheetData>
    <x:row r="1" ht="30" customHeight="1">
      <x:c r="A1" s="4" t="str">
        <x:v>RCADS-47 Scoring Key and Methods</x:v>
      </x:c>
      <x:c r="B1" s="4" t="str">
        <x:v>RCADS-47 Scoring Key and Methods</x:v>
      </x:c>
      <x:c r="C1" s="4" t="str">
        <x:v>RCADS-47 Scoring Key and Methods</x:v>
      </x:c>
      <x:c r="D1" s="4" t="str">
        <x:v>RCADS-47 Scoring Key and Methods</x:v>
      </x:c>
    </x:row>
    <x:row r="3">
      <x:c r="A3" s="14" t="str">
        <x:v>Section</x:v>
      </x:c>
      <x:c r="B3" s="14" t="str">
        <x:v>Definition</x:v>
      </x:c>
      <x:c r="C3" s="14" t="str">
        <x:v>Items / Rule</x:v>
      </x:c>
      <x:c r="D3" s="14" t="str">
        <x:v>Source</x:v>
      </x:c>
    </x:row>
    <x:row r="4">
      <x:c r="A4" s="46" t="str">
        <x:v>Response coding</x:v>
      </x:c>
      <x:c r="B4" s="44" t="str">
        <x:v>Never / Sometimes / Often / Always</x:v>
      </x:c>
      <x:c r="C4" s="44" t="str">
        <x:v>0 / 1 / 2 / 3</x:v>
      </x:c>
      <x:c r="D4" s="44" t="str">
        <x:v>https://rcads.ucla.edu/manualscoring</x:v>
      </x:c>
    </x:row>
    <x:row r="5">
      <x:c r="A5" s="47" t="str">
        <x:v>Social Phobia</x:v>
      </x:c>
      <x:c r="B5" s="45" t="str">
        <x:v>Raw subscale score</x:v>
      </x:c>
      <x:c r="C5" s="45" t="str">
        <x:v>4, 7, 8, 12, 20, 30, 32, 38, 43</x:v>
      </x:c>
      <x:c r="D5" s="45" t="str">
        <x:v>https://rcads.ucla.edu/manualscoring</x:v>
      </x:c>
    </x:row>
    <x:row r="6">
      <x:c r="A6" s="46" t="str">
        <x:v>Panic Disorder</x:v>
      </x:c>
      <x:c r="B6" s="44" t="str">
        <x:v>Raw subscale score</x:v>
      </x:c>
      <x:c r="C6" s="44" t="str">
        <x:v>3, 14, 24, 26, 28, 34, 36, 39, 41</x:v>
      </x:c>
      <x:c r="D6" s="44" t="str">
        <x:v>https://rcads.ucla.edu/manualscoring</x:v>
      </x:c>
    </x:row>
    <x:row r="7">
      <x:c r="A7" s="47" t="str">
        <x:v>Major Depression</x:v>
      </x:c>
      <x:c r="B7" s="45" t="str">
        <x:v>Raw subscale score</x:v>
      </x:c>
      <x:c r="C7" s="45" t="str">
        <x:v>2, 6, 11, 15, 19, 21, 25, 29, 40, 47</x:v>
      </x:c>
      <x:c r="D7" s="45" t="str">
        <x:v>https://rcads.ucla.edu/manualscoring</x:v>
      </x:c>
    </x:row>
    <x:row r="8">
      <x:c r="A8" s="46" t="str">
        <x:v>Separation Anxiety</x:v>
      </x:c>
      <x:c r="B8" s="44" t="str">
        <x:v>Raw subscale score</x:v>
      </x:c>
      <x:c r="C8" s="44" t="str">
        <x:v>5, 9, 17, 18, 33, 45, 46</x:v>
      </x:c>
      <x:c r="D8" s="44" t="str">
        <x:v>https://rcads.ucla.edu/manualscoring</x:v>
      </x:c>
    </x:row>
    <x:row r="9">
      <x:c r="A9" s="47" t="str">
        <x:v>Generalized Anxiety</x:v>
      </x:c>
      <x:c r="B9" s="45" t="str">
        <x:v>Raw subscale score</x:v>
      </x:c>
      <x:c r="C9" s="45" t="str">
        <x:v>1, 13, 22, 27, 35, 37</x:v>
      </x:c>
      <x:c r="D9" s="45" t="str">
        <x:v>https://rcads.ucla.edu/manualscoring</x:v>
      </x:c>
    </x:row>
    <x:row r="10">
      <x:c r="A10" s="46" t="str">
        <x:v>Obsessive Compulsive</x:v>
      </x:c>
      <x:c r="B10" s="44" t="str">
        <x:v>Raw subscale score</x:v>
      </x:c>
      <x:c r="C10" s="44" t="str">
        <x:v>10, 16, 23, 31, 42, 44</x:v>
      </x:c>
      <x:c r="D10" s="44" t="str">
        <x:v>https://rcads.ucla.edu/manualscoring</x:v>
      </x:c>
    </x:row>
    <x:row r="11">
      <x:c r="A11" s="47" t="str">
        <x:v>Missing items</x:v>
      </x:c>
      <x:c r="B11" s="45" t="str">
        <x:v>Prorate a subscale when no more than two constituent items are missing</x:v>
      </x:c>
      <x:c r="C11" s="45" t="str">
        <x:v>Completed-item mean × total subscale items, rounded to the nearest integer</x:v>
      </x:c>
      <x:c r="D11" s="45" t="str">
        <x:v>https://rcads.ucla.edu/manualscoring</x:v>
      </x:c>
    </x:row>
    <x:row r="12">
      <x:c r="A12" s="46" t="str">
        <x:v>Estimated grade</x:v>
      </x:c>
      <x:c r="B12" s="44" t="str">
        <x:v>Grade was not collected</x:v>
      </x:c>
      <x:c r="C12" s="44" t="str">
        <x:v>U.S. grade = age − 6</x:v>
      </x:c>
      <x:c r="D12" s="44" t="str">
        <x:v>https://rcads.ucla.edu/Scoring</x:v>
      </x:c>
    </x:row>
    <x:row r="13">
      <x:c r="A13" s="47" t="str">
        <x:v>T-scores</x:v>
      </x:c>
      <x:c r="B13" s="45" t="str">
        <x:v>Exact U.S. child RCADS-47 conversion-table values</x:v>
      </x:c>
      <x:c r="C13" s="45" t="str">
        <x:v>Sex-specific 7th–8th or 9th–10th grade norms</x:v>
      </x:c>
      <x:c r="D13" s="45" t="str">
        <x:v>https://rcads.ucla.edu/sites/default/files/2023-08/RCADS%20T-Score%20Conversion%20Tables%200220125.pdf</x:v>
      </x:c>
    </x:row>
    <x:row r="14">
      <x:c r="A14" s="46" t="str">
        <x:v>T-score highlighting</x:v>
      </x:c>
      <x:c r="B14" s="44" t="str">
        <x:v>Yellow indicates T = 65–69; orange indicates T ≥ 70</x:v>
      </x:c>
      <x:c r="C14" s="44" t="str">
        <x:v>Screening thresholds only; scores are not diagnoses</x:v>
      </x:c>
      <x:c r="D14" s="44" t="str">
        <x:v>https://rcads.ucla.edu/automatedscoring</x:v>
      </x:c>
    </x:row>
    <x:row r="15">
      <x:c r="A15" s="47" t="str">
        <x:v>P12 correction</x:v>
      </x:c>
      <x:c r="B15" s="45" t="str">
        <x:v>Source sex entry 'n' was confirmed by the investigator to be a typo</x:v>
      </x:c>
      <x:c r="C15" s="45" t="str">
        <x:v>Scored using male norms</x:v>
      </x:c>
      <x:c r="D15" s="45" t="str">
        <x:v>User-confirmed 2026-08-17</x:v>
      </x:c>
    </x:row>
    <x:row r="16">
      <x:c r="A16" s="46" t="str">
        <x:v>P38</x:v>
      </x:c>
      <x:c r="B16" s="44" t="str">
        <x:v>Age and sex were unavailable</x:v>
      </x:c>
      <x:c r="C16" s="44" t="str">
        <x:v>Raw scores shown; T-scores intentionally blank</x:v>
      </x:c>
      <x:c r="D16" s="44" t="str">
        <x:v>QC decision</x:v>
      </x:c>
    </x:row>
    <x:row r="17">
      <x:c r="A17" s="47" t="str">
        <x:v>DSM-5 export</x:v>
      </x:c>
      <x:c r="B17" s="45" t="str">
        <x:v>Used only to cross-check participant-ID coverage</x:v>
      </x:c>
      <x:c r="C17" s="45" t="str">
        <x:v>No DSM-5 responses were incorporated into RCADS scoring</x:v>
      </x:c>
      <x:c r="D17" s="45" t="str">
        <x:v>DSM-5-TR Cross Cutting Age 11-17_August 5, 2026_17.58.xlsx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11" hidden="0" customWidth="1"/>
    <x:col min="4" max="4" width="10" hidden="0" customWidth="1"/>
    <x:col min="5" max="5" width="12" hidden="0" customWidth="1"/>
    <x:col min="6" max="6" width="12" hidden="0" customWidth="1"/>
  </x:cols>
  <x:sheetData>
    <x:row r="1">
      <x:c r="A1" s="14" t="str">
        <x:v>Lookup Key</x:v>
      </x:c>
      <x:c r="B1" s="14" t="str">
        <x:v>Norm Band</x:v>
      </x:c>
      <x:c r="C1" s="14" t="str">
        <x:v>Sex</x:v>
      </x:c>
      <x:c r="D1" s="14" t="str">
        <x:v>Scale</x:v>
      </x:c>
      <x:c r="E1" s="14" t="str">
        <x:v>Raw Score</x:v>
      </x:c>
      <x:c r="F1" s="14" t="str">
        <x:v>T Score</x:v>
      </x:c>
    </x:row>
    <x:row r="2">
      <x:c r="A2" s="20" t="str">
        <x:v>7-8|Male|MDD|0</x:v>
      </x:c>
      <x:c r="B2" s="22" t="str">
        <x:v>7-8</x:v>
      </x:c>
      <x:c r="C2" s="22" t="str">
        <x:v>Male</x:v>
      </x:c>
      <x:c r="D2" s="22" t="str">
        <x:v>MDD</x:v>
      </x:c>
      <x:c r="E2" s="22" t="n">
        <x:v>0</x:v>
      </x:c>
      <x:c r="F2" s="22" t="n">
        <x:v>32</x:v>
      </x:c>
    </x:row>
    <x:row r="3">
      <x:c r="A3" s="17" t="str">
        <x:v>7-8|Male|MDD|1</x:v>
      </x:c>
      <x:c r="B3" s="21" t="str">
        <x:v>7-8</x:v>
      </x:c>
      <x:c r="C3" s="21" t="str">
        <x:v>Male</x:v>
      </x:c>
      <x:c r="D3" s="21" t="str">
        <x:v>MDD</x:v>
      </x:c>
      <x:c r="E3" s="21" t="n">
        <x:v>1</x:v>
      </x:c>
      <x:c r="F3" s="21" t="n">
        <x:v>34</x:v>
      </x:c>
    </x:row>
    <x:row r="4">
      <x:c r="A4" s="20" t="str">
        <x:v>7-8|Male|MDD|2</x:v>
      </x:c>
      <x:c r="B4" s="22" t="str">
        <x:v>7-8</x:v>
      </x:c>
      <x:c r="C4" s="22" t="str">
        <x:v>Male</x:v>
      </x:c>
      <x:c r="D4" s="22" t="str">
        <x:v>MDD</x:v>
      </x:c>
      <x:c r="E4" s="22" t="n">
        <x:v>2</x:v>
      </x:c>
      <x:c r="F4" s="22" t="n">
        <x:v>37</x:v>
      </x:c>
    </x:row>
    <x:row r="5">
      <x:c r="A5" s="17" t="str">
        <x:v>7-8|Male|MDD|3</x:v>
      </x:c>
      <x:c r="B5" s="21" t="str">
        <x:v>7-8</x:v>
      </x:c>
      <x:c r="C5" s="21" t="str">
        <x:v>Male</x:v>
      </x:c>
      <x:c r="D5" s="21" t="str">
        <x:v>MDD</x:v>
      </x:c>
      <x:c r="E5" s="21" t="n">
        <x:v>3</x:v>
      </x:c>
      <x:c r="F5" s="21" t="n">
        <x:v>40</x:v>
      </x:c>
    </x:row>
    <x:row r="6">
      <x:c r="A6" s="20" t="str">
        <x:v>7-8|Male|MDD|4</x:v>
      </x:c>
      <x:c r="B6" s="22" t="str">
        <x:v>7-8</x:v>
      </x:c>
      <x:c r="C6" s="22" t="str">
        <x:v>Male</x:v>
      </x:c>
      <x:c r="D6" s="22" t="str">
        <x:v>MDD</x:v>
      </x:c>
      <x:c r="E6" s="22" t="n">
        <x:v>4</x:v>
      </x:c>
      <x:c r="F6" s="22" t="n">
        <x:v>43</x:v>
      </x:c>
    </x:row>
    <x:row r="7">
      <x:c r="A7" s="17" t="str">
        <x:v>7-8|Male|MDD|5</x:v>
      </x:c>
      <x:c r="B7" s="21" t="str">
        <x:v>7-8</x:v>
      </x:c>
      <x:c r="C7" s="21" t="str">
        <x:v>Male</x:v>
      </x:c>
      <x:c r="D7" s="21" t="str">
        <x:v>MDD</x:v>
      </x:c>
      <x:c r="E7" s="21" t="n">
        <x:v>5</x:v>
      </x:c>
      <x:c r="F7" s="21" t="n">
        <x:v>45</x:v>
      </x:c>
    </x:row>
    <x:row r="8">
      <x:c r="A8" s="20" t="str">
        <x:v>7-8|Male|MDD|6</x:v>
      </x:c>
      <x:c r="B8" s="22" t="str">
        <x:v>7-8</x:v>
      </x:c>
      <x:c r="C8" s="22" t="str">
        <x:v>Male</x:v>
      </x:c>
      <x:c r="D8" s="22" t="str">
        <x:v>MDD</x:v>
      </x:c>
      <x:c r="E8" s="22" t="n">
        <x:v>6</x:v>
      </x:c>
      <x:c r="F8" s="22" t="n">
        <x:v>48</x:v>
      </x:c>
    </x:row>
    <x:row r="9">
      <x:c r="A9" s="17" t="str">
        <x:v>7-8|Male|MDD|7</x:v>
      </x:c>
      <x:c r="B9" s="21" t="str">
        <x:v>7-8</x:v>
      </x:c>
      <x:c r="C9" s="21" t="str">
        <x:v>Male</x:v>
      </x:c>
      <x:c r="D9" s="21" t="str">
        <x:v>MDD</x:v>
      </x:c>
      <x:c r="E9" s="21" t="n">
        <x:v>7</x:v>
      </x:c>
      <x:c r="F9" s="21" t="n">
        <x:v>51</x:v>
      </x:c>
    </x:row>
    <x:row r="10">
      <x:c r="A10" s="20" t="str">
        <x:v>7-8|Male|MDD|8</x:v>
      </x:c>
      <x:c r="B10" s="22" t="str">
        <x:v>7-8</x:v>
      </x:c>
      <x:c r="C10" s="22" t="str">
        <x:v>Male</x:v>
      </x:c>
      <x:c r="D10" s="22" t="str">
        <x:v>MDD</x:v>
      </x:c>
      <x:c r="E10" s="22" t="n">
        <x:v>8</x:v>
      </x:c>
      <x:c r="F10" s="22" t="n">
        <x:v>54</x:v>
      </x:c>
    </x:row>
    <x:row r="11">
      <x:c r="A11" s="17" t="str">
        <x:v>7-8|Male|MDD|9</x:v>
      </x:c>
      <x:c r="B11" s="21" t="str">
        <x:v>7-8</x:v>
      </x:c>
      <x:c r="C11" s="21" t="str">
        <x:v>Male</x:v>
      </x:c>
      <x:c r="D11" s="21" t="str">
        <x:v>MDD</x:v>
      </x:c>
      <x:c r="E11" s="21" t="n">
        <x:v>9</x:v>
      </x:c>
      <x:c r="F11" s="21" t="n">
        <x:v>56</x:v>
      </x:c>
    </x:row>
    <x:row r="12">
      <x:c r="A12" s="20" t="str">
        <x:v>7-8|Male|MDD|10</x:v>
      </x:c>
      <x:c r="B12" s="22" t="str">
        <x:v>7-8</x:v>
      </x:c>
      <x:c r="C12" s="22" t="str">
        <x:v>Male</x:v>
      </x:c>
      <x:c r="D12" s="22" t="str">
        <x:v>MDD</x:v>
      </x:c>
      <x:c r="E12" s="22" t="n">
        <x:v>10</x:v>
      </x:c>
      <x:c r="F12" s="22" t="n">
        <x:v>59</x:v>
      </x:c>
    </x:row>
    <x:row r="13">
      <x:c r="A13" s="17" t="str">
        <x:v>7-8|Male|MDD|11</x:v>
      </x:c>
      <x:c r="B13" s="21" t="str">
        <x:v>7-8</x:v>
      </x:c>
      <x:c r="C13" s="21" t="str">
        <x:v>Male</x:v>
      </x:c>
      <x:c r="D13" s="21" t="str">
        <x:v>MDD</x:v>
      </x:c>
      <x:c r="E13" s="21" t="n">
        <x:v>11</x:v>
      </x:c>
      <x:c r="F13" s="21" t="n">
        <x:v>62</x:v>
      </x:c>
    </x:row>
    <x:row r="14">
      <x:c r="A14" s="20" t="str">
        <x:v>7-8|Male|MDD|12</x:v>
      </x:c>
      <x:c r="B14" s="22" t="str">
        <x:v>7-8</x:v>
      </x:c>
      <x:c r="C14" s="22" t="str">
        <x:v>Male</x:v>
      </x:c>
      <x:c r="D14" s="22" t="str">
        <x:v>MDD</x:v>
      </x:c>
      <x:c r="E14" s="22" t="n">
        <x:v>12</x:v>
      </x:c>
      <x:c r="F14" s="22" t="n">
        <x:v>65</x:v>
      </x:c>
    </x:row>
    <x:row r="15">
      <x:c r="A15" s="17" t="str">
        <x:v>7-8|Male|MDD|13</x:v>
      </x:c>
      <x:c r="B15" s="21" t="str">
        <x:v>7-8</x:v>
      </x:c>
      <x:c r="C15" s="21" t="str">
        <x:v>Male</x:v>
      </x:c>
      <x:c r="D15" s="21" t="str">
        <x:v>MDD</x:v>
      </x:c>
      <x:c r="E15" s="21" t="n">
        <x:v>13</x:v>
      </x:c>
      <x:c r="F15" s="21" t="n">
        <x:v>67</x:v>
      </x:c>
    </x:row>
    <x:row r="16">
      <x:c r="A16" s="20" t="str">
        <x:v>7-8|Male|MDD|14</x:v>
      </x:c>
      <x:c r="B16" s="22" t="str">
        <x:v>7-8</x:v>
      </x:c>
      <x:c r="C16" s="22" t="str">
        <x:v>Male</x:v>
      </x:c>
      <x:c r="D16" s="22" t="str">
        <x:v>MDD</x:v>
      </x:c>
      <x:c r="E16" s="22" t="n">
        <x:v>14</x:v>
      </x:c>
      <x:c r="F16" s="22" t="n">
        <x:v>70</x:v>
      </x:c>
    </x:row>
    <x:row r="17">
      <x:c r="A17" s="17" t="str">
        <x:v>7-8|Male|MDD|15</x:v>
      </x:c>
      <x:c r="B17" s="21" t="str">
        <x:v>7-8</x:v>
      </x:c>
      <x:c r="C17" s="21" t="str">
        <x:v>Male</x:v>
      </x:c>
      <x:c r="D17" s="21" t="str">
        <x:v>MDD</x:v>
      </x:c>
      <x:c r="E17" s="21" t="n">
        <x:v>15</x:v>
      </x:c>
      <x:c r="F17" s="21" t="n">
        <x:v>73</x:v>
      </x:c>
    </x:row>
    <x:row r="18">
      <x:c r="A18" s="20" t="str">
        <x:v>7-8|Male|MDD|16</x:v>
      </x:c>
      <x:c r="B18" s="22" t="str">
        <x:v>7-8</x:v>
      </x:c>
      <x:c r="C18" s="22" t="str">
        <x:v>Male</x:v>
      </x:c>
      <x:c r="D18" s="22" t="str">
        <x:v>MDD</x:v>
      </x:c>
      <x:c r="E18" s="22" t="n">
        <x:v>16</x:v>
      </x:c>
      <x:c r="F18" s="22" t="n">
        <x:v>76</x:v>
      </x:c>
    </x:row>
    <x:row r="19">
      <x:c r="A19" s="17" t="str">
        <x:v>7-8|Male|MDD|17</x:v>
      </x:c>
      <x:c r="B19" s="21" t="str">
        <x:v>7-8</x:v>
      </x:c>
      <x:c r="C19" s="21" t="str">
        <x:v>Male</x:v>
      </x:c>
      <x:c r="D19" s="21" t="str">
        <x:v>MDD</x:v>
      </x:c>
      <x:c r="E19" s="21" t="n">
        <x:v>17</x:v>
      </x:c>
      <x:c r="F19" s="21" t="n">
        <x:v>78</x:v>
      </x:c>
    </x:row>
    <x:row r="20">
      <x:c r="A20" s="20" t="str">
        <x:v>7-8|Male|MDD|18</x:v>
      </x:c>
      <x:c r="B20" s="22" t="str">
        <x:v>7-8</x:v>
      </x:c>
      <x:c r="C20" s="22" t="str">
        <x:v>Male</x:v>
      </x:c>
      <x:c r="D20" s="22" t="str">
        <x:v>MDD</x:v>
      </x:c>
      <x:c r="E20" s="22" t="n">
        <x:v>18</x:v>
      </x:c>
      <x:c r="F20" s="22" t="n">
        <x:v>81</x:v>
      </x:c>
    </x:row>
    <x:row r="21">
      <x:c r="A21" s="17" t="str">
        <x:v>7-8|Male|MDD|19</x:v>
      </x:c>
      <x:c r="B21" s="21" t="str">
        <x:v>7-8</x:v>
      </x:c>
      <x:c r="C21" s="21" t="str">
        <x:v>Male</x:v>
      </x:c>
      <x:c r="D21" s="21" t="str">
        <x:v>MDD</x:v>
      </x:c>
      <x:c r="E21" s="21" t="n">
        <x:v>19</x:v>
      </x:c>
      <x:c r="F21" s="21" t="n">
        <x:v>84</x:v>
      </x:c>
    </x:row>
    <x:row r="22">
      <x:c r="A22" s="20" t="str">
        <x:v>7-8|Male|MDD|20</x:v>
      </x:c>
      <x:c r="B22" s="22" t="str">
        <x:v>7-8</x:v>
      </x:c>
      <x:c r="C22" s="22" t="str">
        <x:v>Male</x:v>
      </x:c>
      <x:c r="D22" s="22" t="str">
        <x:v>MDD</x:v>
      </x:c>
      <x:c r="E22" s="22" t="n">
        <x:v>20</x:v>
      </x:c>
      <x:c r="F22" s="22" t="n">
        <x:v>87</x:v>
      </x:c>
    </x:row>
    <x:row r="23">
      <x:c r="A23" s="17" t="str">
        <x:v>7-8|Male|MDD|21</x:v>
      </x:c>
      <x:c r="B23" s="21" t="str">
        <x:v>7-8</x:v>
      </x:c>
      <x:c r="C23" s="21" t="str">
        <x:v>Male</x:v>
      </x:c>
      <x:c r="D23" s="21" t="str">
        <x:v>MDD</x:v>
      </x:c>
      <x:c r="E23" s="21" t="n">
        <x:v>21</x:v>
      </x:c>
      <x:c r="F23" s="21" t="n">
        <x:v>89</x:v>
      </x:c>
    </x:row>
    <x:row r="24">
      <x:c r="A24" s="20" t="str">
        <x:v>7-8|Male|MDD|22</x:v>
      </x:c>
      <x:c r="B24" s="22" t="str">
        <x:v>7-8</x:v>
      </x:c>
      <x:c r="C24" s="22" t="str">
        <x:v>Male</x:v>
      </x:c>
      <x:c r="D24" s="22" t="str">
        <x:v>MDD</x:v>
      </x:c>
      <x:c r="E24" s="22" t="n">
        <x:v>22</x:v>
      </x:c>
      <x:c r="F24" s="22" t="n">
        <x:v>92</x:v>
      </x:c>
    </x:row>
    <x:row r="25">
      <x:c r="A25" s="17" t="str">
        <x:v>7-8|Male|MDD|23</x:v>
      </x:c>
      <x:c r="B25" s="21" t="str">
        <x:v>7-8</x:v>
      </x:c>
      <x:c r="C25" s="21" t="str">
        <x:v>Male</x:v>
      </x:c>
      <x:c r="D25" s="21" t="str">
        <x:v>MDD</x:v>
      </x:c>
      <x:c r="E25" s="21" t="n">
        <x:v>23</x:v>
      </x:c>
      <x:c r="F25" s="21" t="n">
        <x:v>95</x:v>
      </x:c>
    </x:row>
    <x:row r="26">
      <x:c r="A26" s="20" t="str">
        <x:v>7-8|Male|MDD|24</x:v>
      </x:c>
      <x:c r="B26" s="22" t="str">
        <x:v>7-8</x:v>
      </x:c>
      <x:c r="C26" s="22" t="str">
        <x:v>Male</x:v>
      </x:c>
      <x:c r="D26" s="22" t="str">
        <x:v>MDD</x:v>
      </x:c>
      <x:c r="E26" s="22" t="n">
        <x:v>24</x:v>
      </x:c>
      <x:c r="F26" s="22" t="n">
        <x:v>98</x:v>
      </x:c>
    </x:row>
    <x:row r="27">
      <x:c r="A27" s="17" t="str">
        <x:v>7-8|Male|MDD|25</x:v>
      </x:c>
      <x:c r="B27" s="21" t="str">
        <x:v>7-8</x:v>
      </x:c>
      <x:c r="C27" s="21" t="str">
        <x:v>Male</x:v>
      </x:c>
      <x:c r="D27" s="21" t="str">
        <x:v>MDD</x:v>
      </x:c>
      <x:c r="E27" s="21" t="n">
        <x:v>25</x:v>
      </x:c>
      <x:c r="F27" s="21" t="n">
        <x:v>100</x:v>
      </x:c>
    </x:row>
    <x:row r="28">
      <x:c r="A28" s="20" t="str">
        <x:v>7-8|Male|MDD|26</x:v>
      </x:c>
      <x:c r="B28" s="22" t="str">
        <x:v>7-8</x:v>
      </x:c>
      <x:c r="C28" s="22" t="str">
        <x:v>Male</x:v>
      </x:c>
      <x:c r="D28" s="22" t="str">
        <x:v>MDD</x:v>
      </x:c>
      <x:c r="E28" s="22" t="n">
        <x:v>26</x:v>
      </x:c>
      <x:c r="F28" s="22" t="n">
        <x:v>103</x:v>
      </x:c>
    </x:row>
    <x:row r="29">
      <x:c r="A29" s="17" t="str">
        <x:v>7-8|Male|MDD|27</x:v>
      </x:c>
      <x:c r="B29" s="21" t="str">
        <x:v>7-8</x:v>
      </x:c>
      <x:c r="C29" s="21" t="str">
        <x:v>Male</x:v>
      </x:c>
      <x:c r="D29" s="21" t="str">
        <x:v>MDD</x:v>
      </x:c>
      <x:c r="E29" s="21" t="n">
        <x:v>27</x:v>
      </x:c>
      <x:c r="F29" s="21" t="n">
        <x:v>106</x:v>
      </x:c>
    </x:row>
    <x:row r="30">
      <x:c r="A30" s="20" t="str">
        <x:v>7-8|Male|MDD|28</x:v>
      </x:c>
      <x:c r="B30" s="22" t="str">
        <x:v>7-8</x:v>
      </x:c>
      <x:c r="C30" s="22" t="str">
        <x:v>Male</x:v>
      </x:c>
      <x:c r="D30" s="22" t="str">
        <x:v>MDD</x:v>
      </x:c>
      <x:c r="E30" s="22" t="n">
        <x:v>28</x:v>
      </x:c>
      <x:c r="F30" s="22" t="n">
        <x:v>108</x:v>
      </x:c>
    </x:row>
    <x:row r="31">
      <x:c r="A31" s="17" t="str">
        <x:v>7-8|Male|MDD|29</x:v>
      </x:c>
      <x:c r="B31" s="21" t="str">
        <x:v>7-8</x:v>
      </x:c>
      <x:c r="C31" s="21" t="str">
        <x:v>Male</x:v>
      </x:c>
      <x:c r="D31" s="21" t="str">
        <x:v>MDD</x:v>
      </x:c>
      <x:c r="E31" s="21" t="n">
        <x:v>29</x:v>
      </x:c>
      <x:c r="F31" s="21" t="n">
        <x:v>111</x:v>
      </x:c>
    </x:row>
    <x:row r="32">
      <x:c r="A32" s="20" t="str">
        <x:v>7-8|Male|MDD|30</x:v>
      </x:c>
      <x:c r="B32" s="22" t="str">
        <x:v>7-8</x:v>
      </x:c>
      <x:c r="C32" s="22" t="str">
        <x:v>Male</x:v>
      </x:c>
      <x:c r="D32" s="22" t="str">
        <x:v>MDD</x:v>
      </x:c>
      <x:c r="E32" s="22" t="n">
        <x:v>30</x:v>
      </x:c>
      <x:c r="F32" s="22" t="n">
        <x:v>114</x:v>
      </x:c>
    </x:row>
    <x:row r="33">
      <x:c r="A33" s="17" t="str">
        <x:v>7-8|Male|GAD|0</x:v>
      </x:c>
      <x:c r="B33" s="21" t="str">
        <x:v>7-8</x:v>
      </x:c>
      <x:c r="C33" s="21" t="str">
        <x:v>Male</x:v>
      </x:c>
      <x:c r="D33" s="21" t="str">
        <x:v>GAD</x:v>
      </x:c>
      <x:c r="E33" s="21" t="n">
        <x:v>0</x:v>
      </x:c>
      <x:c r="F33" s="21" t="n">
        <x:v>30</x:v>
      </x:c>
    </x:row>
    <x:row r="34">
      <x:c r="A34" s="20" t="str">
        <x:v>7-8|Male|GAD|1</x:v>
      </x:c>
      <x:c r="B34" s="22" t="str">
        <x:v>7-8</x:v>
      </x:c>
      <x:c r="C34" s="22" t="str">
        <x:v>Male</x:v>
      </x:c>
      <x:c r="D34" s="22" t="str">
        <x:v>GAD</x:v>
      </x:c>
      <x:c r="E34" s="22" t="n">
        <x:v>1</x:v>
      </x:c>
      <x:c r="F34" s="22" t="n">
        <x:v>33</x:v>
      </x:c>
    </x:row>
    <x:row r="35">
      <x:c r="A35" s="17" t="str">
        <x:v>7-8|Male|GAD|2</x:v>
      </x:c>
      <x:c r="B35" s="21" t="str">
        <x:v>7-8</x:v>
      </x:c>
      <x:c r="C35" s="21" t="str">
        <x:v>Male</x:v>
      </x:c>
      <x:c r="D35" s="21" t="str">
        <x:v>GAD</x:v>
      </x:c>
      <x:c r="E35" s="21" t="n">
        <x:v>2</x:v>
      </x:c>
      <x:c r="F35" s="21" t="n">
        <x:v>37</x:v>
      </x:c>
    </x:row>
    <x:row r="36">
      <x:c r="A36" s="20" t="str">
        <x:v>7-8|Male|GAD|3</x:v>
      </x:c>
      <x:c r="B36" s="22" t="str">
        <x:v>7-8</x:v>
      </x:c>
      <x:c r="C36" s="22" t="str">
        <x:v>Male</x:v>
      </x:c>
      <x:c r="D36" s="22" t="str">
        <x:v>GAD</x:v>
      </x:c>
      <x:c r="E36" s="22" t="n">
        <x:v>3</x:v>
      </x:c>
      <x:c r="F36" s="22" t="n">
        <x:v>40</x:v>
      </x:c>
    </x:row>
    <x:row r="37">
      <x:c r="A37" s="17" t="str">
        <x:v>7-8|Male|GAD|4</x:v>
      </x:c>
      <x:c r="B37" s="21" t="str">
        <x:v>7-8</x:v>
      </x:c>
      <x:c r="C37" s="21" t="str">
        <x:v>Male</x:v>
      </x:c>
      <x:c r="D37" s="21" t="str">
        <x:v>GAD</x:v>
      </x:c>
      <x:c r="E37" s="21" t="n">
        <x:v>4</x:v>
      </x:c>
      <x:c r="F37" s="21" t="n">
        <x:v>43</x:v>
      </x:c>
    </x:row>
    <x:row r="38">
      <x:c r="A38" s="20" t="str">
        <x:v>7-8|Male|GAD|5</x:v>
      </x:c>
      <x:c r="B38" s="22" t="str">
        <x:v>7-8</x:v>
      </x:c>
      <x:c r="C38" s="22" t="str">
        <x:v>Male</x:v>
      </x:c>
      <x:c r="D38" s="22" t="str">
        <x:v>GAD</x:v>
      </x:c>
      <x:c r="E38" s="22" t="n">
        <x:v>5</x:v>
      </x:c>
      <x:c r="F38" s="22" t="n">
        <x:v>46</x:v>
      </x:c>
    </x:row>
    <x:row r="39">
      <x:c r="A39" s="17" t="str">
        <x:v>7-8|Male|GAD|6</x:v>
      </x:c>
      <x:c r="B39" s="21" t="str">
        <x:v>7-8</x:v>
      </x:c>
      <x:c r="C39" s="21" t="str">
        <x:v>Male</x:v>
      </x:c>
      <x:c r="D39" s="21" t="str">
        <x:v>GAD</x:v>
      </x:c>
      <x:c r="E39" s="21" t="n">
        <x:v>6</x:v>
      </x:c>
      <x:c r="F39" s="21" t="n">
        <x:v>49</x:v>
      </x:c>
    </x:row>
    <x:row r="40">
      <x:c r="A40" s="20" t="str">
        <x:v>7-8|Male|GAD|7</x:v>
      </x:c>
      <x:c r="B40" s="22" t="str">
        <x:v>7-8</x:v>
      </x:c>
      <x:c r="C40" s="22" t="str">
        <x:v>Male</x:v>
      </x:c>
      <x:c r="D40" s="22" t="str">
        <x:v>GAD</x:v>
      </x:c>
      <x:c r="E40" s="22" t="n">
        <x:v>7</x:v>
      </x:c>
      <x:c r="F40" s="22" t="n">
        <x:v>53</x:v>
      </x:c>
    </x:row>
    <x:row r="41">
      <x:c r="A41" s="17" t="str">
        <x:v>7-8|Male|GAD|8</x:v>
      </x:c>
      <x:c r="B41" s="21" t="str">
        <x:v>7-8</x:v>
      </x:c>
      <x:c r="C41" s="21" t="str">
        <x:v>Male</x:v>
      </x:c>
      <x:c r="D41" s="21" t="str">
        <x:v>GAD</x:v>
      </x:c>
      <x:c r="E41" s="21" t="n">
        <x:v>8</x:v>
      </x:c>
      <x:c r="F41" s="21" t="n">
        <x:v>56</x:v>
      </x:c>
    </x:row>
    <x:row r="42">
      <x:c r="A42" s="20" t="str">
        <x:v>7-8|Male|GAD|9</x:v>
      </x:c>
      <x:c r="B42" s="22" t="str">
        <x:v>7-8</x:v>
      </x:c>
      <x:c r="C42" s="22" t="str">
        <x:v>Male</x:v>
      </x:c>
      <x:c r="D42" s="22" t="str">
        <x:v>GAD</x:v>
      </x:c>
      <x:c r="E42" s="22" t="n">
        <x:v>9</x:v>
      </x:c>
      <x:c r="F42" s="22" t="n">
        <x:v>59</x:v>
      </x:c>
    </x:row>
    <x:row r="43">
      <x:c r="A43" s="17" t="str">
        <x:v>7-8|Male|GAD|10</x:v>
      </x:c>
      <x:c r="B43" s="21" t="str">
        <x:v>7-8</x:v>
      </x:c>
      <x:c r="C43" s="21" t="str">
        <x:v>Male</x:v>
      </x:c>
      <x:c r="D43" s="21" t="str">
        <x:v>GAD</x:v>
      </x:c>
      <x:c r="E43" s="21" t="n">
        <x:v>10</x:v>
      </x:c>
      <x:c r="F43" s="21" t="n">
        <x:v>62</x:v>
      </x:c>
    </x:row>
    <x:row r="44">
      <x:c r="A44" s="20" t="str">
        <x:v>7-8|Male|GAD|11</x:v>
      </x:c>
      <x:c r="B44" s="22" t="str">
        <x:v>7-8</x:v>
      </x:c>
      <x:c r="C44" s="22" t="str">
        <x:v>Male</x:v>
      </x:c>
      <x:c r="D44" s="22" t="str">
        <x:v>GAD</x:v>
      </x:c>
      <x:c r="E44" s="22" t="n">
        <x:v>11</x:v>
      </x:c>
      <x:c r="F44" s="22" t="n">
        <x:v>65</x:v>
      </x:c>
    </x:row>
    <x:row r="45">
      <x:c r="A45" s="17" t="str">
        <x:v>7-8|Male|GAD|12</x:v>
      </x:c>
      <x:c r="B45" s="21" t="str">
        <x:v>7-8</x:v>
      </x:c>
      <x:c r="C45" s="21" t="str">
        <x:v>Male</x:v>
      </x:c>
      <x:c r="D45" s="21" t="str">
        <x:v>GAD</x:v>
      </x:c>
      <x:c r="E45" s="21" t="n">
        <x:v>12</x:v>
      </x:c>
      <x:c r="F45" s="21" t="n">
        <x:v>68</x:v>
      </x:c>
    </x:row>
    <x:row r="46">
      <x:c r="A46" s="20" t="str">
        <x:v>7-8|Male|GAD|13</x:v>
      </x:c>
      <x:c r="B46" s="22" t="str">
        <x:v>7-8</x:v>
      </x:c>
      <x:c r="C46" s="22" t="str">
        <x:v>Male</x:v>
      </x:c>
      <x:c r="D46" s="22" t="str">
        <x:v>GAD</x:v>
      </x:c>
      <x:c r="E46" s="22" t="n">
        <x:v>13</x:v>
      </x:c>
      <x:c r="F46" s="22" t="n">
        <x:v>72</x:v>
      </x:c>
    </x:row>
    <x:row r="47">
      <x:c r="A47" s="17" t="str">
        <x:v>7-8|Male|GAD|14</x:v>
      </x:c>
      <x:c r="B47" s="21" t="str">
        <x:v>7-8</x:v>
      </x:c>
      <x:c r="C47" s="21" t="str">
        <x:v>Male</x:v>
      </x:c>
      <x:c r="D47" s="21" t="str">
        <x:v>GAD</x:v>
      </x:c>
      <x:c r="E47" s="21" t="n">
        <x:v>14</x:v>
      </x:c>
      <x:c r="F47" s="21" t="n">
        <x:v>75</x:v>
      </x:c>
    </x:row>
    <x:row r="48">
      <x:c r="A48" s="20" t="str">
        <x:v>7-8|Male|GAD|15</x:v>
      </x:c>
      <x:c r="B48" s="22" t="str">
        <x:v>7-8</x:v>
      </x:c>
      <x:c r="C48" s="22" t="str">
        <x:v>Male</x:v>
      </x:c>
      <x:c r="D48" s="22" t="str">
        <x:v>GAD</x:v>
      </x:c>
      <x:c r="E48" s="22" t="n">
        <x:v>15</x:v>
      </x:c>
      <x:c r="F48" s="22" t="n">
        <x:v>78</x:v>
      </x:c>
    </x:row>
    <x:row r="49">
      <x:c r="A49" s="17" t="str">
        <x:v>7-8|Male|GAD|16</x:v>
      </x:c>
      <x:c r="B49" s="21" t="str">
        <x:v>7-8</x:v>
      </x:c>
      <x:c r="C49" s="21" t="str">
        <x:v>Male</x:v>
      </x:c>
      <x:c r="D49" s="21" t="str">
        <x:v>GAD</x:v>
      </x:c>
      <x:c r="E49" s="21" t="n">
        <x:v>16</x:v>
      </x:c>
      <x:c r="F49" s="21" t="n">
        <x:v>81</x:v>
      </x:c>
    </x:row>
    <x:row r="50">
      <x:c r="A50" s="20" t="str">
        <x:v>7-8|Male|GAD|17</x:v>
      </x:c>
      <x:c r="B50" s="22" t="str">
        <x:v>7-8</x:v>
      </x:c>
      <x:c r="C50" s="22" t="str">
        <x:v>Male</x:v>
      </x:c>
      <x:c r="D50" s="22" t="str">
        <x:v>GAD</x:v>
      </x:c>
      <x:c r="E50" s="22" t="n">
        <x:v>17</x:v>
      </x:c>
      <x:c r="F50" s="22" t="n">
        <x:v>84</x:v>
      </x:c>
    </x:row>
    <x:row r="51">
      <x:c r="A51" s="17" t="str">
        <x:v>7-8|Male|GAD|18</x:v>
      </x:c>
      <x:c r="B51" s="21" t="str">
        <x:v>7-8</x:v>
      </x:c>
      <x:c r="C51" s="21" t="str">
        <x:v>Male</x:v>
      </x:c>
      <x:c r="D51" s="21" t="str">
        <x:v>GAD</x:v>
      </x:c>
      <x:c r="E51" s="21" t="n">
        <x:v>18</x:v>
      </x:c>
      <x:c r="F51" s="21" t="n">
        <x:v>88</x:v>
      </x:c>
    </x:row>
    <x:row r="52">
      <x:c r="A52" s="20" t="str">
        <x:v>7-8|Male|OCD|0</x:v>
      </x:c>
      <x:c r="B52" s="22" t="str">
        <x:v>7-8</x:v>
      </x:c>
      <x:c r="C52" s="22" t="str">
        <x:v>Male</x:v>
      </x:c>
      <x:c r="D52" s="22" t="str">
        <x:v>OCD</x:v>
      </x:c>
      <x:c r="E52" s="22" t="n">
        <x:v>0</x:v>
      </x:c>
      <x:c r="F52" s="22" t="n">
        <x:v>35</x:v>
      </x:c>
    </x:row>
    <x:row r="53">
      <x:c r="A53" s="17" t="str">
        <x:v>7-8|Male|OCD|1</x:v>
      </x:c>
      <x:c r="B53" s="21" t="str">
        <x:v>7-8</x:v>
      </x:c>
      <x:c r="C53" s="21" t="str">
        <x:v>Male</x:v>
      </x:c>
      <x:c r="D53" s="21" t="str">
        <x:v>OCD</x:v>
      </x:c>
      <x:c r="E53" s="21" t="n">
        <x:v>1</x:v>
      </x:c>
      <x:c r="F53" s="21" t="n">
        <x:v>38</x:v>
      </x:c>
    </x:row>
    <x:row r="54">
      <x:c r="A54" s="20" t="str">
        <x:v>7-8|Male|OCD|2</x:v>
      </x:c>
      <x:c r="B54" s="22" t="str">
        <x:v>7-8</x:v>
      </x:c>
      <x:c r="C54" s="22" t="str">
        <x:v>Male</x:v>
      </x:c>
      <x:c r="D54" s="22" t="str">
        <x:v>OCD</x:v>
      </x:c>
      <x:c r="E54" s="22" t="n">
        <x:v>2</x:v>
      </x:c>
      <x:c r="F54" s="22" t="n">
        <x:v>41</x:v>
      </x:c>
    </x:row>
    <x:row r="55">
      <x:c r="A55" s="17" t="str">
        <x:v>7-8|Male|OCD|3</x:v>
      </x:c>
      <x:c r="B55" s="21" t="str">
        <x:v>7-8</x:v>
      </x:c>
      <x:c r="C55" s="21" t="str">
        <x:v>Male</x:v>
      </x:c>
      <x:c r="D55" s="21" t="str">
        <x:v>OCD</x:v>
      </x:c>
      <x:c r="E55" s="21" t="n">
        <x:v>3</x:v>
      </x:c>
      <x:c r="F55" s="21" t="n">
        <x:v>43</x:v>
      </x:c>
    </x:row>
    <x:row r="56">
      <x:c r="A56" s="20" t="str">
        <x:v>7-8|Male|OCD|4</x:v>
      </x:c>
      <x:c r="B56" s="22" t="str">
        <x:v>7-8</x:v>
      </x:c>
      <x:c r="C56" s="22" t="str">
        <x:v>Male</x:v>
      </x:c>
      <x:c r="D56" s="22" t="str">
        <x:v>OCD</x:v>
      </x:c>
      <x:c r="E56" s="22" t="n">
        <x:v>4</x:v>
      </x:c>
      <x:c r="F56" s="22" t="n">
        <x:v>46</x:v>
      </x:c>
    </x:row>
    <x:row r="57">
      <x:c r="A57" s="17" t="str">
        <x:v>7-8|Male|OCD|5</x:v>
      </x:c>
      <x:c r="B57" s="21" t="str">
        <x:v>7-8</x:v>
      </x:c>
      <x:c r="C57" s="21" t="str">
        <x:v>Male</x:v>
      </x:c>
      <x:c r="D57" s="21" t="str">
        <x:v>OCD</x:v>
      </x:c>
      <x:c r="E57" s="21" t="n">
        <x:v>5</x:v>
      </x:c>
      <x:c r="F57" s="21" t="n">
        <x:v>49</x:v>
      </x:c>
    </x:row>
    <x:row r="58">
      <x:c r="A58" s="20" t="str">
        <x:v>7-8|Male|OCD|6</x:v>
      </x:c>
      <x:c r="B58" s="22" t="str">
        <x:v>7-8</x:v>
      </x:c>
      <x:c r="C58" s="22" t="str">
        <x:v>Male</x:v>
      </x:c>
      <x:c r="D58" s="22" t="str">
        <x:v>OCD</x:v>
      </x:c>
      <x:c r="E58" s="22" t="n">
        <x:v>6</x:v>
      </x:c>
      <x:c r="F58" s="22" t="n">
        <x:v>52</x:v>
      </x:c>
    </x:row>
    <x:row r="59">
      <x:c r="A59" s="17" t="str">
        <x:v>7-8|Male|OCD|7</x:v>
      </x:c>
      <x:c r="B59" s="21" t="str">
        <x:v>7-8</x:v>
      </x:c>
      <x:c r="C59" s="21" t="str">
        <x:v>Male</x:v>
      </x:c>
      <x:c r="D59" s="21" t="str">
        <x:v>OCD</x:v>
      </x:c>
      <x:c r="E59" s="21" t="n">
        <x:v>7</x:v>
      </x:c>
      <x:c r="F59" s="21" t="n">
        <x:v>55</x:v>
      </x:c>
    </x:row>
    <x:row r="60">
      <x:c r="A60" s="20" t="str">
        <x:v>7-8|Male|OCD|8</x:v>
      </x:c>
      <x:c r="B60" s="22" t="str">
        <x:v>7-8</x:v>
      </x:c>
      <x:c r="C60" s="22" t="str">
        <x:v>Male</x:v>
      </x:c>
      <x:c r="D60" s="22" t="str">
        <x:v>OCD</x:v>
      </x:c>
      <x:c r="E60" s="22" t="n">
        <x:v>8</x:v>
      </x:c>
      <x:c r="F60" s="22" t="n">
        <x:v>58</x:v>
      </x:c>
    </x:row>
    <x:row r="61">
      <x:c r="A61" s="17" t="str">
        <x:v>7-8|Male|OCD|9</x:v>
      </x:c>
      <x:c r="B61" s="21" t="str">
        <x:v>7-8</x:v>
      </x:c>
      <x:c r="C61" s="21" t="str">
        <x:v>Male</x:v>
      </x:c>
      <x:c r="D61" s="21" t="str">
        <x:v>OCD</x:v>
      </x:c>
      <x:c r="E61" s="21" t="n">
        <x:v>9</x:v>
      </x:c>
      <x:c r="F61" s="21" t="n">
        <x:v>61</x:v>
      </x:c>
    </x:row>
    <x:row r="62">
      <x:c r="A62" s="20" t="str">
        <x:v>7-8|Male|OCD|10</x:v>
      </x:c>
      <x:c r="B62" s="22" t="str">
        <x:v>7-8</x:v>
      </x:c>
      <x:c r="C62" s="22" t="str">
        <x:v>Male</x:v>
      </x:c>
      <x:c r="D62" s="22" t="str">
        <x:v>OCD</x:v>
      </x:c>
      <x:c r="E62" s="22" t="n">
        <x:v>10</x:v>
      </x:c>
      <x:c r="F62" s="22" t="n">
        <x:v>64</x:v>
      </x:c>
    </x:row>
    <x:row r="63">
      <x:c r="A63" s="17" t="str">
        <x:v>7-8|Male|OCD|11</x:v>
      </x:c>
      <x:c r="B63" s="21" t="str">
        <x:v>7-8</x:v>
      </x:c>
      <x:c r="C63" s="21" t="str">
        <x:v>Male</x:v>
      </x:c>
      <x:c r="D63" s="21" t="str">
        <x:v>OCD</x:v>
      </x:c>
      <x:c r="E63" s="21" t="n">
        <x:v>11</x:v>
      </x:c>
      <x:c r="F63" s="21" t="n">
        <x:v>67</x:v>
      </x:c>
    </x:row>
    <x:row r="64">
      <x:c r="A64" s="20" t="str">
        <x:v>7-8|Male|OCD|12</x:v>
      </x:c>
      <x:c r="B64" s="22" t="str">
        <x:v>7-8</x:v>
      </x:c>
      <x:c r="C64" s="22" t="str">
        <x:v>Male</x:v>
      </x:c>
      <x:c r="D64" s="22" t="str">
        <x:v>OCD</x:v>
      </x:c>
      <x:c r="E64" s="22" t="n">
        <x:v>12</x:v>
      </x:c>
      <x:c r="F64" s="22" t="n">
        <x:v>70</x:v>
      </x:c>
    </x:row>
    <x:row r="65">
      <x:c r="A65" s="17" t="str">
        <x:v>7-8|Male|OCD|13</x:v>
      </x:c>
      <x:c r="B65" s="21" t="str">
        <x:v>7-8</x:v>
      </x:c>
      <x:c r="C65" s="21" t="str">
        <x:v>Male</x:v>
      </x:c>
      <x:c r="D65" s="21" t="str">
        <x:v>OCD</x:v>
      </x:c>
      <x:c r="E65" s="21" t="n">
        <x:v>13</x:v>
      </x:c>
      <x:c r="F65" s="21" t="n">
        <x:v>73</x:v>
      </x:c>
    </x:row>
    <x:row r="66">
      <x:c r="A66" s="20" t="str">
        <x:v>7-8|Male|OCD|14</x:v>
      </x:c>
      <x:c r="B66" s="22" t="str">
        <x:v>7-8</x:v>
      </x:c>
      <x:c r="C66" s="22" t="str">
        <x:v>Male</x:v>
      </x:c>
      <x:c r="D66" s="22" t="str">
        <x:v>OCD</x:v>
      </x:c>
      <x:c r="E66" s="22" t="n">
        <x:v>14</x:v>
      </x:c>
      <x:c r="F66" s="22" t="n">
        <x:v>76</x:v>
      </x:c>
    </x:row>
    <x:row r="67">
      <x:c r="A67" s="17" t="str">
        <x:v>7-8|Male|OCD|15</x:v>
      </x:c>
      <x:c r="B67" s="21" t="str">
        <x:v>7-8</x:v>
      </x:c>
      <x:c r="C67" s="21" t="str">
        <x:v>Male</x:v>
      </x:c>
      <x:c r="D67" s="21" t="str">
        <x:v>OCD</x:v>
      </x:c>
      <x:c r="E67" s="21" t="n">
        <x:v>15</x:v>
      </x:c>
      <x:c r="F67" s="21" t="n">
        <x:v>79</x:v>
      </x:c>
    </x:row>
    <x:row r="68">
      <x:c r="A68" s="20" t="str">
        <x:v>7-8|Male|OCD|16</x:v>
      </x:c>
      <x:c r="B68" s="22" t="str">
        <x:v>7-8</x:v>
      </x:c>
      <x:c r="C68" s="22" t="str">
        <x:v>Male</x:v>
      </x:c>
      <x:c r="D68" s="22" t="str">
        <x:v>OCD</x:v>
      </x:c>
      <x:c r="E68" s="22" t="n">
        <x:v>16</x:v>
      </x:c>
      <x:c r="F68" s="22" t="n">
        <x:v>82</x:v>
      </x:c>
    </x:row>
    <x:row r="69">
      <x:c r="A69" s="17" t="str">
        <x:v>7-8|Male|OCD|17</x:v>
      </x:c>
      <x:c r="B69" s="21" t="str">
        <x:v>7-8</x:v>
      </x:c>
      <x:c r="C69" s="21" t="str">
        <x:v>Male</x:v>
      </x:c>
      <x:c r="D69" s="21" t="str">
        <x:v>OCD</x:v>
      </x:c>
      <x:c r="E69" s="21" t="n">
        <x:v>17</x:v>
      </x:c>
      <x:c r="F69" s="21" t="n">
        <x:v>85</x:v>
      </x:c>
    </x:row>
    <x:row r="70">
      <x:c r="A70" s="20" t="str">
        <x:v>7-8|Male|OCD|18</x:v>
      </x:c>
      <x:c r="B70" s="22" t="str">
        <x:v>7-8</x:v>
      </x:c>
      <x:c r="C70" s="22" t="str">
        <x:v>Male</x:v>
      </x:c>
      <x:c r="D70" s="22" t="str">
        <x:v>OCD</x:v>
      </x:c>
      <x:c r="E70" s="22" t="n">
        <x:v>18</x:v>
      </x:c>
      <x:c r="F70" s="22" t="n">
        <x:v>88</x:v>
      </x:c>
    </x:row>
    <x:row r="71">
      <x:c r="A71" s="17" t="str">
        <x:v>7-8|Male|PD|0</x:v>
      </x:c>
      <x:c r="B71" s="21" t="str">
        <x:v>7-8</x:v>
      </x:c>
      <x:c r="C71" s="21" t="str">
        <x:v>Male</x:v>
      </x:c>
      <x:c r="D71" s="21" t="str">
        <x:v>PD</x:v>
      </x:c>
      <x:c r="E71" s="21" t="n">
        <x:v>0</x:v>
      </x:c>
      <x:c r="F71" s="21" t="n">
        <x:v>39</x:v>
      </x:c>
    </x:row>
    <x:row r="72">
      <x:c r="A72" s="20" t="str">
        <x:v>7-8|Male|PD|1</x:v>
      </x:c>
      <x:c r="B72" s="22" t="str">
        <x:v>7-8</x:v>
      </x:c>
      <x:c r="C72" s="22" t="str">
        <x:v>Male</x:v>
      </x:c>
      <x:c r="D72" s="22" t="str">
        <x:v>PD</x:v>
      </x:c>
      <x:c r="E72" s="22" t="n">
        <x:v>1</x:v>
      </x:c>
      <x:c r="F72" s="22" t="n">
        <x:v>42</x:v>
      </x:c>
    </x:row>
    <x:row r="73">
      <x:c r="A73" s="17" t="str">
        <x:v>7-8|Male|PD|2</x:v>
      </x:c>
      <x:c r="B73" s="21" t="str">
        <x:v>7-8</x:v>
      </x:c>
      <x:c r="C73" s="21" t="str">
        <x:v>Male</x:v>
      </x:c>
      <x:c r="D73" s="21" t="str">
        <x:v>PD</x:v>
      </x:c>
      <x:c r="E73" s="21" t="n">
        <x:v>2</x:v>
      </x:c>
      <x:c r="F73" s="21" t="n">
        <x:v>45</x:v>
      </x:c>
    </x:row>
    <x:row r="74">
      <x:c r="A74" s="20" t="str">
        <x:v>7-8|Male|PD|3</x:v>
      </x:c>
      <x:c r="B74" s="22" t="str">
        <x:v>7-8</x:v>
      </x:c>
      <x:c r="C74" s="22" t="str">
        <x:v>Male</x:v>
      </x:c>
      <x:c r="D74" s="22" t="str">
        <x:v>PD</x:v>
      </x:c>
      <x:c r="E74" s="22" t="n">
        <x:v>3</x:v>
      </x:c>
      <x:c r="F74" s="22" t="n">
        <x:v>48</x:v>
      </x:c>
    </x:row>
    <x:row r="75">
      <x:c r="A75" s="17" t="str">
        <x:v>7-8|Male|PD|4</x:v>
      </x:c>
      <x:c r="B75" s="21" t="str">
        <x:v>7-8</x:v>
      </x:c>
      <x:c r="C75" s="21" t="str">
        <x:v>Male</x:v>
      </x:c>
      <x:c r="D75" s="21" t="str">
        <x:v>PD</x:v>
      </x:c>
      <x:c r="E75" s="21" t="n">
        <x:v>4</x:v>
      </x:c>
      <x:c r="F75" s="21" t="n">
        <x:v>51</x:v>
      </x:c>
    </x:row>
    <x:row r="76">
      <x:c r="A76" s="20" t="str">
        <x:v>7-8|Male|PD|5</x:v>
      </x:c>
      <x:c r="B76" s="22" t="str">
        <x:v>7-8</x:v>
      </x:c>
      <x:c r="C76" s="22" t="str">
        <x:v>Male</x:v>
      </x:c>
      <x:c r="D76" s="22" t="str">
        <x:v>PD</x:v>
      </x:c>
      <x:c r="E76" s="22" t="n">
        <x:v>5</x:v>
      </x:c>
      <x:c r="F76" s="22" t="n">
        <x:v>54</x:v>
      </x:c>
    </x:row>
    <x:row r="77">
      <x:c r="A77" s="17" t="str">
        <x:v>7-8|Male|PD|6</x:v>
      </x:c>
      <x:c r="B77" s="21" t="str">
        <x:v>7-8</x:v>
      </x:c>
      <x:c r="C77" s="21" t="str">
        <x:v>Male</x:v>
      </x:c>
      <x:c r="D77" s="21" t="str">
        <x:v>PD</x:v>
      </x:c>
      <x:c r="E77" s="21" t="n">
        <x:v>6</x:v>
      </x:c>
      <x:c r="F77" s="21" t="n">
        <x:v>57</x:v>
      </x:c>
    </x:row>
    <x:row r="78">
      <x:c r="A78" s="20" t="str">
        <x:v>7-8|Male|PD|7</x:v>
      </x:c>
      <x:c r="B78" s="22" t="str">
        <x:v>7-8</x:v>
      </x:c>
      <x:c r="C78" s="22" t="str">
        <x:v>Male</x:v>
      </x:c>
      <x:c r="D78" s="22" t="str">
        <x:v>PD</x:v>
      </x:c>
      <x:c r="E78" s="22" t="n">
        <x:v>7</x:v>
      </x:c>
      <x:c r="F78" s="22" t="n">
        <x:v>60</x:v>
      </x:c>
    </x:row>
    <x:row r="79">
      <x:c r="A79" s="17" t="str">
        <x:v>7-8|Male|PD|8</x:v>
      </x:c>
      <x:c r="B79" s="21" t="str">
        <x:v>7-8</x:v>
      </x:c>
      <x:c r="C79" s="21" t="str">
        <x:v>Male</x:v>
      </x:c>
      <x:c r="D79" s="21" t="str">
        <x:v>PD</x:v>
      </x:c>
      <x:c r="E79" s="21" t="n">
        <x:v>8</x:v>
      </x:c>
      <x:c r="F79" s="21" t="n">
        <x:v>63</x:v>
      </x:c>
    </x:row>
    <x:row r="80">
      <x:c r="A80" s="20" t="str">
        <x:v>7-8|Male|PD|9</x:v>
      </x:c>
      <x:c r="B80" s="22" t="str">
        <x:v>7-8</x:v>
      </x:c>
      <x:c r="C80" s="22" t="str">
        <x:v>Male</x:v>
      </x:c>
      <x:c r="D80" s="22" t="str">
        <x:v>PD</x:v>
      </x:c>
      <x:c r="E80" s="22" t="n">
        <x:v>9</x:v>
      </x:c>
      <x:c r="F80" s="22" t="n">
        <x:v>66</x:v>
      </x:c>
    </x:row>
    <x:row r="81">
      <x:c r="A81" s="17" t="str">
        <x:v>7-8|Male|PD|10</x:v>
      </x:c>
      <x:c r="B81" s="21" t="str">
        <x:v>7-8</x:v>
      </x:c>
      <x:c r="C81" s="21" t="str">
        <x:v>Male</x:v>
      </x:c>
      <x:c r="D81" s="21" t="str">
        <x:v>PD</x:v>
      </x:c>
      <x:c r="E81" s="21" t="n">
        <x:v>10</x:v>
      </x:c>
      <x:c r="F81" s="21" t="n">
        <x:v>69</x:v>
      </x:c>
    </x:row>
    <x:row r="82">
      <x:c r="A82" s="20" t="str">
        <x:v>7-8|Male|PD|11</x:v>
      </x:c>
      <x:c r="B82" s="22" t="str">
        <x:v>7-8</x:v>
      </x:c>
      <x:c r="C82" s="22" t="str">
        <x:v>Male</x:v>
      </x:c>
      <x:c r="D82" s="22" t="str">
        <x:v>PD</x:v>
      </x:c>
      <x:c r="E82" s="22" t="n">
        <x:v>11</x:v>
      </x:c>
      <x:c r="F82" s="22" t="n">
        <x:v>72</x:v>
      </x:c>
    </x:row>
    <x:row r="83">
      <x:c r="A83" s="17" t="str">
        <x:v>7-8|Male|PD|12</x:v>
      </x:c>
      <x:c r="B83" s="21" t="str">
        <x:v>7-8</x:v>
      </x:c>
      <x:c r="C83" s="21" t="str">
        <x:v>Male</x:v>
      </x:c>
      <x:c r="D83" s="21" t="str">
        <x:v>PD</x:v>
      </x:c>
      <x:c r="E83" s="21" t="n">
        <x:v>12</x:v>
      </x:c>
      <x:c r="F83" s="21" t="n">
        <x:v>75</x:v>
      </x:c>
    </x:row>
    <x:row r="84">
      <x:c r="A84" s="20" t="str">
        <x:v>7-8|Male|PD|13</x:v>
      </x:c>
      <x:c r="B84" s="22" t="str">
        <x:v>7-8</x:v>
      </x:c>
      <x:c r="C84" s="22" t="str">
        <x:v>Male</x:v>
      </x:c>
      <x:c r="D84" s="22" t="str">
        <x:v>PD</x:v>
      </x:c>
      <x:c r="E84" s="22" t="n">
        <x:v>13</x:v>
      </x:c>
      <x:c r="F84" s="22" t="n">
        <x:v>78</x:v>
      </x:c>
    </x:row>
    <x:row r="85">
      <x:c r="A85" s="17" t="str">
        <x:v>7-8|Male|PD|14</x:v>
      </x:c>
      <x:c r="B85" s="21" t="str">
        <x:v>7-8</x:v>
      </x:c>
      <x:c r="C85" s="21" t="str">
        <x:v>Male</x:v>
      </x:c>
      <x:c r="D85" s="21" t="str">
        <x:v>PD</x:v>
      </x:c>
      <x:c r="E85" s="21" t="n">
        <x:v>14</x:v>
      </x:c>
      <x:c r="F85" s="21" t="n">
        <x:v>81</x:v>
      </x:c>
    </x:row>
    <x:row r="86">
      <x:c r="A86" s="20" t="str">
        <x:v>7-8|Male|PD|15</x:v>
      </x:c>
      <x:c r="B86" s="22" t="str">
        <x:v>7-8</x:v>
      </x:c>
      <x:c r="C86" s="22" t="str">
        <x:v>Male</x:v>
      </x:c>
      <x:c r="D86" s="22" t="str">
        <x:v>PD</x:v>
      </x:c>
      <x:c r="E86" s="22" t="n">
        <x:v>15</x:v>
      </x:c>
      <x:c r="F86" s="22" t="n">
        <x:v>84</x:v>
      </x:c>
    </x:row>
    <x:row r="87">
      <x:c r="A87" s="17" t="str">
        <x:v>7-8|Male|PD|16</x:v>
      </x:c>
      <x:c r="B87" s="21" t="str">
        <x:v>7-8</x:v>
      </x:c>
      <x:c r="C87" s="21" t="str">
        <x:v>Male</x:v>
      </x:c>
      <x:c r="D87" s="21" t="str">
        <x:v>PD</x:v>
      </x:c>
      <x:c r="E87" s="21" t="n">
        <x:v>16</x:v>
      </x:c>
      <x:c r="F87" s="21" t="n">
        <x:v>87</x:v>
      </x:c>
    </x:row>
    <x:row r="88">
      <x:c r="A88" s="20" t="str">
        <x:v>7-8|Male|PD|17</x:v>
      </x:c>
      <x:c r="B88" s="22" t="str">
        <x:v>7-8</x:v>
      </x:c>
      <x:c r="C88" s="22" t="str">
        <x:v>Male</x:v>
      </x:c>
      <x:c r="D88" s="22" t="str">
        <x:v>PD</x:v>
      </x:c>
      <x:c r="E88" s="22" t="n">
        <x:v>17</x:v>
      </x:c>
      <x:c r="F88" s="22" t="n">
        <x:v>90</x:v>
      </x:c>
    </x:row>
    <x:row r="89">
      <x:c r="A89" s="17" t="str">
        <x:v>7-8|Male|PD|18</x:v>
      </x:c>
      <x:c r="B89" s="21" t="str">
        <x:v>7-8</x:v>
      </x:c>
      <x:c r="C89" s="21" t="str">
        <x:v>Male</x:v>
      </x:c>
      <x:c r="D89" s="21" t="str">
        <x:v>PD</x:v>
      </x:c>
      <x:c r="E89" s="21" t="n">
        <x:v>18</x:v>
      </x:c>
      <x:c r="F89" s="21" t="n">
        <x:v>93</x:v>
      </x:c>
    </x:row>
    <x:row r="90">
      <x:c r="A90" s="20" t="str">
        <x:v>7-8|Male|PD|19</x:v>
      </x:c>
      <x:c r="B90" s="22" t="str">
        <x:v>7-8</x:v>
      </x:c>
      <x:c r="C90" s="22" t="str">
        <x:v>Male</x:v>
      </x:c>
      <x:c r="D90" s="22" t="str">
        <x:v>PD</x:v>
      </x:c>
      <x:c r="E90" s="22" t="n">
        <x:v>19</x:v>
      </x:c>
      <x:c r="F90" s="22" t="n">
        <x:v>96</x:v>
      </x:c>
    </x:row>
    <x:row r="91">
      <x:c r="A91" s="17" t="str">
        <x:v>7-8|Male|PD|20</x:v>
      </x:c>
      <x:c r="B91" s="21" t="str">
        <x:v>7-8</x:v>
      </x:c>
      <x:c r="C91" s="21" t="str">
        <x:v>Male</x:v>
      </x:c>
      <x:c r="D91" s="21" t="str">
        <x:v>PD</x:v>
      </x:c>
      <x:c r="E91" s="21" t="n">
        <x:v>20</x:v>
      </x:c>
      <x:c r="F91" s="21" t="n">
        <x:v>99</x:v>
      </x:c>
    </x:row>
    <x:row r="92">
      <x:c r="A92" s="20" t="str">
        <x:v>7-8|Male|PD|21</x:v>
      </x:c>
      <x:c r="B92" s="22" t="str">
        <x:v>7-8</x:v>
      </x:c>
      <x:c r="C92" s="22" t="str">
        <x:v>Male</x:v>
      </x:c>
      <x:c r="D92" s="22" t="str">
        <x:v>PD</x:v>
      </x:c>
      <x:c r="E92" s="22" t="n">
        <x:v>21</x:v>
      </x:c>
      <x:c r="F92" s="22" t="n">
        <x:v>102</x:v>
      </x:c>
    </x:row>
    <x:row r="93">
      <x:c r="A93" s="17" t="str">
        <x:v>7-8|Male|PD|22</x:v>
      </x:c>
      <x:c r="B93" s="21" t="str">
        <x:v>7-8</x:v>
      </x:c>
      <x:c r="C93" s="21" t="str">
        <x:v>Male</x:v>
      </x:c>
      <x:c r="D93" s="21" t="str">
        <x:v>PD</x:v>
      </x:c>
      <x:c r="E93" s="21" t="n">
        <x:v>22</x:v>
      </x:c>
      <x:c r="F93" s="21" t="n">
        <x:v>105</x:v>
      </x:c>
    </x:row>
    <x:row r="94">
      <x:c r="A94" s="20" t="str">
        <x:v>7-8|Male|PD|23</x:v>
      </x:c>
      <x:c r="B94" s="22" t="str">
        <x:v>7-8</x:v>
      </x:c>
      <x:c r="C94" s="22" t="str">
        <x:v>Male</x:v>
      </x:c>
      <x:c r="D94" s="22" t="str">
        <x:v>PD</x:v>
      </x:c>
      <x:c r="E94" s="22" t="n">
        <x:v>23</x:v>
      </x:c>
      <x:c r="F94" s="22" t="n">
        <x:v>108</x:v>
      </x:c>
    </x:row>
    <x:row r="95">
      <x:c r="A95" s="17" t="str">
        <x:v>7-8|Male|PD|24</x:v>
      </x:c>
      <x:c r="B95" s="21" t="str">
        <x:v>7-8</x:v>
      </x:c>
      <x:c r="C95" s="21" t="str">
        <x:v>Male</x:v>
      </x:c>
      <x:c r="D95" s="21" t="str">
        <x:v>PD</x:v>
      </x:c>
      <x:c r="E95" s="21" t="n">
        <x:v>24</x:v>
      </x:c>
      <x:c r="F95" s="21" t="n">
        <x:v>111</x:v>
      </x:c>
    </x:row>
    <x:row r="96">
      <x:c r="A96" s="20" t="str">
        <x:v>7-8|Male|PD|25</x:v>
      </x:c>
      <x:c r="B96" s="22" t="str">
        <x:v>7-8</x:v>
      </x:c>
      <x:c r="C96" s="22" t="str">
        <x:v>Male</x:v>
      </x:c>
      <x:c r="D96" s="22" t="str">
        <x:v>PD</x:v>
      </x:c>
      <x:c r="E96" s="22" t="n">
        <x:v>25</x:v>
      </x:c>
      <x:c r="F96" s="22" t="n">
        <x:v>114</x:v>
      </x:c>
    </x:row>
    <x:row r="97">
      <x:c r="A97" s="17" t="str">
        <x:v>7-8|Male|PD|26</x:v>
      </x:c>
      <x:c r="B97" s="21" t="str">
        <x:v>7-8</x:v>
      </x:c>
      <x:c r="C97" s="21" t="str">
        <x:v>Male</x:v>
      </x:c>
      <x:c r="D97" s="21" t="str">
        <x:v>PD</x:v>
      </x:c>
      <x:c r="E97" s="21" t="n">
        <x:v>26</x:v>
      </x:c>
      <x:c r="F97" s="21" t="n">
        <x:v>117</x:v>
      </x:c>
    </x:row>
    <x:row r="98">
      <x:c r="A98" s="20" t="str">
        <x:v>7-8|Male|PD|27</x:v>
      </x:c>
      <x:c r="B98" s="22" t="str">
        <x:v>7-8</x:v>
      </x:c>
      <x:c r="C98" s="22" t="str">
        <x:v>Male</x:v>
      </x:c>
      <x:c r="D98" s="22" t="str">
        <x:v>PD</x:v>
      </x:c>
      <x:c r="E98" s="22" t="n">
        <x:v>27</x:v>
      </x:c>
      <x:c r="F98" s="22" t="n">
        <x:v>120</x:v>
      </x:c>
    </x:row>
    <x:row r="99">
      <x:c r="A99" s="17" t="str">
        <x:v>7-8|Male|SAD|0</x:v>
      </x:c>
      <x:c r="B99" s="21" t="str">
        <x:v>7-8</x:v>
      </x:c>
      <x:c r="C99" s="21" t="str">
        <x:v>Male</x:v>
      </x:c>
      <x:c r="D99" s="21" t="str">
        <x:v>SAD</x:v>
      </x:c>
      <x:c r="E99" s="21" t="n">
        <x:v>0</x:v>
      </x:c>
      <x:c r="F99" s="21" t="n">
        <x:v>41</x:v>
      </x:c>
    </x:row>
    <x:row r="100">
      <x:c r="A100" s="20" t="str">
        <x:v>7-8|Male|SAD|1</x:v>
      </x:c>
      <x:c r="B100" s="22" t="str">
        <x:v>7-8</x:v>
      </x:c>
      <x:c r="C100" s="22" t="str">
        <x:v>Male</x:v>
      </x:c>
      <x:c r="D100" s="22" t="str">
        <x:v>SAD</x:v>
      </x:c>
      <x:c r="E100" s="22" t="n">
        <x:v>1</x:v>
      </x:c>
      <x:c r="F100" s="22" t="n">
        <x:v>45</x:v>
      </x:c>
    </x:row>
    <x:row r="101">
      <x:c r="A101" s="17" t="str">
        <x:v>7-8|Male|SAD|2</x:v>
      </x:c>
      <x:c r="B101" s="21" t="str">
        <x:v>7-8</x:v>
      </x:c>
      <x:c r="C101" s="21" t="str">
        <x:v>Male</x:v>
      </x:c>
      <x:c r="D101" s="21" t="str">
        <x:v>SAD</x:v>
      </x:c>
      <x:c r="E101" s="21" t="n">
        <x:v>2</x:v>
      </x:c>
      <x:c r="F101" s="21" t="n">
        <x:v>49</x:v>
      </x:c>
    </x:row>
    <x:row r="102">
      <x:c r="A102" s="20" t="str">
        <x:v>7-8|Male|SAD|3</x:v>
      </x:c>
      <x:c r="B102" s="22" t="str">
        <x:v>7-8</x:v>
      </x:c>
      <x:c r="C102" s="22" t="str">
        <x:v>Male</x:v>
      </x:c>
      <x:c r="D102" s="22" t="str">
        <x:v>SAD</x:v>
      </x:c>
      <x:c r="E102" s="22" t="n">
        <x:v>3</x:v>
      </x:c>
      <x:c r="F102" s="22" t="n">
        <x:v>53</x:v>
      </x:c>
    </x:row>
    <x:row r="103">
      <x:c r="A103" s="17" t="str">
        <x:v>7-8|Male|SAD|4</x:v>
      </x:c>
      <x:c r="B103" s="21" t="str">
        <x:v>7-8</x:v>
      </x:c>
      <x:c r="C103" s="21" t="str">
        <x:v>Male</x:v>
      </x:c>
      <x:c r="D103" s="21" t="str">
        <x:v>SAD</x:v>
      </x:c>
      <x:c r="E103" s="21" t="n">
        <x:v>4</x:v>
      </x:c>
      <x:c r="F103" s="21" t="n">
        <x:v>57</x:v>
      </x:c>
    </x:row>
    <x:row r="104">
      <x:c r="A104" s="20" t="str">
        <x:v>7-8|Male|SAD|5</x:v>
      </x:c>
      <x:c r="B104" s="22" t="str">
        <x:v>7-8</x:v>
      </x:c>
      <x:c r="C104" s="22" t="str">
        <x:v>Male</x:v>
      </x:c>
      <x:c r="D104" s="22" t="str">
        <x:v>SAD</x:v>
      </x:c>
      <x:c r="E104" s="22" t="n">
        <x:v>5</x:v>
      </x:c>
      <x:c r="F104" s="22" t="n">
        <x:v>61</x:v>
      </x:c>
    </x:row>
    <x:row r="105">
      <x:c r="A105" s="17" t="str">
        <x:v>7-8|Male|SAD|6</x:v>
      </x:c>
      <x:c r="B105" s="21" t="str">
        <x:v>7-8</x:v>
      </x:c>
      <x:c r="C105" s="21" t="str">
        <x:v>Male</x:v>
      </x:c>
      <x:c r="D105" s="21" t="str">
        <x:v>SAD</x:v>
      </x:c>
      <x:c r="E105" s="21" t="n">
        <x:v>6</x:v>
      </x:c>
      <x:c r="F105" s="21" t="n">
        <x:v>65</x:v>
      </x:c>
    </x:row>
    <x:row r="106">
      <x:c r="A106" s="20" t="str">
        <x:v>7-8|Male|SAD|7</x:v>
      </x:c>
      <x:c r="B106" s="22" t="str">
        <x:v>7-8</x:v>
      </x:c>
      <x:c r="C106" s="22" t="str">
        <x:v>Male</x:v>
      </x:c>
      <x:c r="D106" s="22" t="str">
        <x:v>SAD</x:v>
      </x:c>
      <x:c r="E106" s="22" t="n">
        <x:v>7</x:v>
      </x:c>
      <x:c r="F106" s="22" t="n">
        <x:v>69</x:v>
      </x:c>
    </x:row>
    <x:row r="107">
      <x:c r="A107" s="17" t="str">
        <x:v>7-8|Male|SAD|8</x:v>
      </x:c>
      <x:c r="B107" s="21" t="str">
        <x:v>7-8</x:v>
      </x:c>
      <x:c r="C107" s="21" t="str">
        <x:v>Male</x:v>
      </x:c>
      <x:c r="D107" s="21" t="str">
        <x:v>SAD</x:v>
      </x:c>
      <x:c r="E107" s="21" t="n">
        <x:v>8</x:v>
      </x:c>
      <x:c r="F107" s="21" t="n">
        <x:v>73</x:v>
      </x:c>
    </x:row>
    <x:row r="108">
      <x:c r="A108" s="20" t="str">
        <x:v>7-8|Male|SAD|9</x:v>
      </x:c>
      <x:c r="B108" s="22" t="str">
        <x:v>7-8</x:v>
      </x:c>
      <x:c r="C108" s="22" t="str">
        <x:v>Male</x:v>
      </x:c>
      <x:c r="D108" s="22" t="str">
        <x:v>SAD</x:v>
      </x:c>
      <x:c r="E108" s="22" t="n">
        <x:v>9</x:v>
      </x:c>
      <x:c r="F108" s="22" t="n">
        <x:v>77</x:v>
      </x:c>
    </x:row>
    <x:row r="109">
      <x:c r="A109" s="17" t="str">
        <x:v>7-8|Male|SAD|10</x:v>
      </x:c>
      <x:c r="B109" s="21" t="str">
        <x:v>7-8</x:v>
      </x:c>
      <x:c r="C109" s="21" t="str">
        <x:v>Male</x:v>
      </x:c>
      <x:c r="D109" s="21" t="str">
        <x:v>SAD</x:v>
      </x:c>
      <x:c r="E109" s="21" t="n">
        <x:v>10</x:v>
      </x:c>
      <x:c r="F109" s="21" t="n">
        <x:v>81</x:v>
      </x:c>
    </x:row>
    <x:row r="110">
      <x:c r="A110" s="20" t="str">
        <x:v>7-8|Male|SAD|11</x:v>
      </x:c>
      <x:c r="B110" s="22" t="str">
        <x:v>7-8</x:v>
      </x:c>
      <x:c r="C110" s="22" t="str">
        <x:v>Male</x:v>
      </x:c>
      <x:c r="D110" s="22" t="str">
        <x:v>SAD</x:v>
      </x:c>
      <x:c r="E110" s="22" t="n">
        <x:v>11</x:v>
      </x:c>
      <x:c r="F110" s="22" t="n">
        <x:v>85</x:v>
      </x:c>
    </x:row>
    <x:row r="111">
      <x:c r="A111" s="17" t="str">
        <x:v>7-8|Male|SAD|12</x:v>
      </x:c>
      <x:c r="B111" s="21" t="str">
        <x:v>7-8</x:v>
      </x:c>
      <x:c r="C111" s="21" t="str">
        <x:v>Male</x:v>
      </x:c>
      <x:c r="D111" s="21" t="str">
        <x:v>SAD</x:v>
      </x:c>
      <x:c r="E111" s="21" t="n">
        <x:v>12</x:v>
      </x:c>
      <x:c r="F111" s="21" t="n">
        <x:v>89</x:v>
      </x:c>
    </x:row>
    <x:row r="112">
      <x:c r="A112" s="20" t="str">
        <x:v>7-8|Male|SAD|13</x:v>
      </x:c>
      <x:c r="B112" s="22" t="str">
        <x:v>7-8</x:v>
      </x:c>
      <x:c r="C112" s="22" t="str">
        <x:v>Male</x:v>
      </x:c>
      <x:c r="D112" s="22" t="str">
        <x:v>SAD</x:v>
      </x:c>
      <x:c r="E112" s="22" t="n">
        <x:v>13</x:v>
      </x:c>
      <x:c r="F112" s="22" t="n">
        <x:v>93</x:v>
      </x:c>
    </x:row>
    <x:row r="113">
      <x:c r="A113" s="17" t="str">
        <x:v>7-8|Male|SAD|14</x:v>
      </x:c>
      <x:c r="B113" s="21" t="str">
        <x:v>7-8</x:v>
      </x:c>
      <x:c r="C113" s="21" t="str">
        <x:v>Male</x:v>
      </x:c>
      <x:c r="D113" s="21" t="str">
        <x:v>SAD</x:v>
      </x:c>
      <x:c r="E113" s="21" t="n">
        <x:v>14</x:v>
      </x:c>
      <x:c r="F113" s="21" t="n">
        <x:v>98</x:v>
      </x:c>
    </x:row>
    <x:row r="114">
      <x:c r="A114" s="20" t="str">
        <x:v>7-8|Male|SAD|15</x:v>
      </x:c>
      <x:c r="B114" s="22" t="str">
        <x:v>7-8</x:v>
      </x:c>
      <x:c r="C114" s="22" t="str">
        <x:v>Male</x:v>
      </x:c>
      <x:c r="D114" s="22" t="str">
        <x:v>SAD</x:v>
      </x:c>
      <x:c r="E114" s="22" t="n">
        <x:v>15</x:v>
      </x:c>
      <x:c r="F114" s="22" t="n">
        <x:v>102</x:v>
      </x:c>
    </x:row>
    <x:row r="115">
      <x:c r="A115" s="17" t="str">
        <x:v>7-8|Male|SAD|16</x:v>
      </x:c>
      <x:c r="B115" s="21" t="str">
        <x:v>7-8</x:v>
      </x:c>
      <x:c r="C115" s="21" t="str">
        <x:v>Male</x:v>
      </x:c>
      <x:c r="D115" s="21" t="str">
        <x:v>SAD</x:v>
      </x:c>
      <x:c r="E115" s="21" t="n">
        <x:v>16</x:v>
      </x:c>
      <x:c r="F115" s="21" t="n">
        <x:v>106</x:v>
      </x:c>
    </x:row>
    <x:row r="116">
      <x:c r="A116" s="20" t="str">
        <x:v>7-8|Male|SAD|17</x:v>
      </x:c>
      <x:c r="B116" s="22" t="str">
        <x:v>7-8</x:v>
      </x:c>
      <x:c r="C116" s="22" t="str">
        <x:v>Male</x:v>
      </x:c>
      <x:c r="D116" s="22" t="str">
        <x:v>SAD</x:v>
      </x:c>
      <x:c r="E116" s="22" t="n">
        <x:v>17</x:v>
      </x:c>
      <x:c r="F116" s="22" t="n">
        <x:v>110</x:v>
      </x:c>
    </x:row>
    <x:row r="117">
      <x:c r="A117" s="17" t="str">
        <x:v>7-8|Male|SAD|18</x:v>
      </x:c>
      <x:c r="B117" s="21" t="str">
        <x:v>7-8</x:v>
      </x:c>
      <x:c r="C117" s="21" t="str">
        <x:v>Male</x:v>
      </x:c>
      <x:c r="D117" s="21" t="str">
        <x:v>SAD</x:v>
      </x:c>
      <x:c r="E117" s="21" t="n">
        <x:v>18</x:v>
      </x:c>
      <x:c r="F117" s="21" t="n">
        <x:v>114</x:v>
      </x:c>
    </x:row>
    <x:row r="118">
      <x:c r="A118" s="20" t="str">
        <x:v>7-8|Male|SAD|19</x:v>
      </x:c>
      <x:c r="B118" s="22" t="str">
        <x:v>7-8</x:v>
      </x:c>
      <x:c r="C118" s="22" t="str">
        <x:v>Male</x:v>
      </x:c>
      <x:c r="D118" s="22" t="str">
        <x:v>SAD</x:v>
      </x:c>
      <x:c r="E118" s="22" t="n">
        <x:v>19</x:v>
      </x:c>
      <x:c r="F118" s="22" t="n">
        <x:v>118</x:v>
      </x:c>
    </x:row>
    <x:row r="119">
      <x:c r="A119" s="17" t="str">
        <x:v>7-8|Male|SAD|20</x:v>
      </x:c>
      <x:c r="B119" s="21" t="str">
        <x:v>7-8</x:v>
      </x:c>
      <x:c r="C119" s="21" t="str">
        <x:v>Male</x:v>
      </x:c>
      <x:c r="D119" s="21" t="str">
        <x:v>SAD</x:v>
      </x:c>
      <x:c r="E119" s="21" t="n">
        <x:v>20</x:v>
      </x:c>
      <x:c r="F119" s="21" t="n">
        <x:v>122</x:v>
      </x:c>
    </x:row>
    <x:row r="120">
      <x:c r="A120" s="20" t="str">
        <x:v>7-8|Male|SAD|21</x:v>
      </x:c>
      <x:c r="B120" s="22" t="str">
        <x:v>7-8</x:v>
      </x:c>
      <x:c r="C120" s="22" t="str">
        <x:v>Male</x:v>
      </x:c>
      <x:c r="D120" s="22" t="str">
        <x:v>SAD</x:v>
      </x:c>
      <x:c r="E120" s="22" t="n">
        <x:v>21</x:v>
      </x:c>
      <x:c r="F120" s="22" t="n">
        <x:v>126</x:v>
      </x:c>
    </x:row>
    <x:row r="121">
      <x:c r="A121" s="17" t="str">
        <x:v>7-8|Male|SP|0</x:v>
      </x:c>
      <x:c r="B121" s="21" t="str">
        <x:v>7-8</x:v>
      </x:c>
      <x:c r="C121" s="21" t="str">
        <x:v>Male</x:v>
      </x:c>
      <x:c r="D121" s="21" t="str">
        <x:v>SP</x:v>
      </x:c>
      <x:c r="E121" s="21" t="n">
        <x:v>0</x:v>
      </x:c>
      <x:c r="F121" s="21" t="n">
        <x:v>27</x:v>
      </x:c>
    </x:row>
    <x:row r="122">
      <x:c r="A122" s="20" t="str">
        <x:v>7-8|Male|SP|1</x:v>
      </x:c>
      <x:c r="B122" s="22" t="str">
        <x:v>7-8</x:v>
      </x:c>
      <x:c r="C122" s="22" t="str">
        <x:v>Male</x:v>
      </x:c>
      <x:c r="D122" s="22" t="str">
        <x:v>SP</x:v>
      </x:c>
      <x:c r="E122" s="22" t="n">
        <x:v>1</x:v>
      </x:c>
      <x:c r="F122" s="22" t="n">
        <x:v>29</x:v>
      </x:c>
    </x:row>
    <x:row r="123">
      <x:c r="A123" s="17" t="str">
        <x:v>7-8|Male|SP|2</x:v>
      </x:c>
      <x:c r="B123" s="21" t="str">
        <x:v>7-8</x:v>
      </x:c>
      <x:c r="C123" s="21" t="str">
        <x:v>Male</x:v>
      </x:c>
      <x:c r="D123" s="21" t="str">
        <x:v>SP</x:v>
      </x:c>
      <x:c r="E123" s="21" t="n">
        <x:v>2</x:v>
      </x:c>
      <x:c r="F123" s="21" t="n">
        <x:v>31</x:v>
      </x:c>
    </x:row>
    <x:row r="124">
      <x:c r="A124" s="20" t="str">
        <x:v>7-8|Male|SP|3</x:v>
      </x:c>
      <x:c r="B124" s="22" t="str">
        <x:v>7-8</x:v>
      </x:c>
      <x:c r="C124" s="22" t="str">
        <x:v>Male</x:v>
      </x:c>
      <x:c r="D124" s="22" t="str">
        <x:v>SP</x:v>
      </x:c>
      <x:c r="E124" s="22" t="n">
        <x:v>3</x:v>
      </x:c>
      <x:c r="F124" s="22" t="n">
        <x:v>33</x:v>
      </x:c>
    </x:row>
    <x:row r="125">
      <x:c r="A125" s="17" t="str">
        <x:v>7-8|Male|SP|4</x:v>
      </x:c>
      <x:c r="B125" s="21" t="str">
        <x:v>7-8</x:v>
      </x:c>
      <x:c r="C125" s="21" t="str">
        <x:v>Male</x:v>
      </x:c>
      <x:c r="D125" s="21" t="str">
        <x:v>SP</x:v>
      </x:c>
      <x:c r="E125" s="21" t="n">
        <x:v>4</x:v>
      </x:c>
      <x:c r="F125" s="21" t="n">
        <x:v>35</x:v>
      </x:c>
    </x:row>
    <x:row r="126">
      <x:c r="A126" s="20" t="str">
        <x:v>7-8|Male|SP|5</x:v>
      </x:c>
      <x:c r="B126" s="22" t="str">
        <x:v>7-8</x:v>
      </x:c>
      <x:c r="C126" s="22" t="str">
        <x:v>Male</x:v>
      </x:c>
      <x:c r="D126" s="22" t="str">
        <x:v>SP</x:v>
      </x:c>
      <x:c r="E126" s="22" t="n">
        <x:v>5</x:v>
      </x:c>
      <x:c r="F126" s="22" t="n">
        <x:v>37</x:v>
      </x:c>
    </x:row>
    <x:row r="127">
      <x:c r="A127" s="17" t="str">
        <x:v>7-8|Male|SP|6</x:v>
      </x:c>
      <x:c r="B127" s="21" t="str">
        <x:v>7-8</x:v>
      </x:c>
      <x:c r="C127" s="21" t="str">
        <x:v>Male</x:v>
      </x:c>
      <x:c r="D127" s="21" t="str">
        <x:v>SP</x:v>
      </x:c>
      <x:c r="E127" s="21" t="n">
        <x:v>6</x:v>
      </x:c>
      <x:c r="F127" s="21" t="n">
        <x:v>39</x:v>
      </x:c>
    </x:row>
    <x:row r="128">
      <x:c r="A128" s="20" t="str">
        <x:v>7-8|Male|SP|7</x:v>
      </x:c>
      <x:c r="B128" s="22" t="str">
        <x:v>7-8</x:v>
      </x:c>
      <x:c r="C128" s="22" t="str">
        <x:v>Male</x:v>
      </x:c>
      <x:c r="D128" s="22" t="str">
        <x:v>SP</x:v>
      </x:c>
      <x:c r="E128" s="22" t="n">
        <x:v>7</x:v>
      </x:c>
      <x:c r="F128" s="22" t="n">
        <x:v>41</x:v>
      </x:c>
    </x:row>
    <x:row r="129">
      <x:c r="A129" s="17" t="str">
        <x:v>7-8|Male|SP|8</x:v>
      </x:c>
      <x:c r="B129" s="21" t="str">
        <x:v>7-8</x:v>
      </x:c>
      <x:c r="C129" s="21" t="str">
        <x:v>Male</x:v>
      </x:c>
      <x:c r="D129" s="21" t="str">
        <x:v>SP</x:v>
      </x:c>
      <x:c r="E129" s="21" t="n">
        <x:v>8</x:v>
      </x:c>
      <x:c r="F129" s="21" t="n">
        <x:v>44</x:v>
      </x:c>
    </x:row>
    <x:row r="130">
      <x:c r="A130" s="20" t="str">
        <x:v>7-8|Male|SP|9</x:v>
      </x:c>
      <x:c r="B130" s="22" t="str">
        <x:v>7-8</x:v>
      </x:c>
      <x:c r="C130" s="22" t="str">
        <x:v>Male</x:v>
      </x:c>
      <x:c r="D130" s="22" t="str">
        <x:v>SP</x:v>
      </x:c>
      <x:c r="E130" s="22" t="n">
        <x:v>9</x:v>
      </x:c>
      <x:c r="F130" s="22" t="n">
        <x:v>46</x:v>
      </x:c>
    </x:row>
    <x:row r="131">
      <x:c r="A131" s="17" t="str">
        <x:v>7-8|Male|SP|10</x:v>
      </x:c>
      <x:c r="B131" s="21" t="str">
        <x:v>7-8</x:v>
      </x:c>
      <x:c r="C131" s="21" t="str">
        <x:v>Male</x:v>
      </x:c>
      <x:c r="D131" s="21" t="str">
        <x:v>SP</x:v>
      </x:c>
      <x:c r="E131" s="21" t="n">
        <x:v>10</x:v>
      </x:c>
      <x:c r="F131" s="21" t="n">
        <x:v>48</x:v>
      </x:c>
    </x:row>
    <x:row r="132">
      <x:c r="A132" s="20" t="str">
        <x:v>7-8|Male|SP|11</x:v>
      </x:c>
      <x:c r="B132" s="22" t="str">
        <x:v>7-8</x:v>
      </x:c>
      <x:c r="C132" s="22" t="str">
        <x:v>Male</x:v>
      </x:c>
      <x:c r="D132" s="22" t="str">
        <x:v>SP</x:v>
      </x:c>
      <x:c r="E132" s="22" t="n">
        <x:v>11</x:v>
      </x:c>
      <x:c r="F132" s="22" t="n">
        <x:v>50</x:v>
      </x:c>
    </x:row>
    <x:row r="133">
      <x:c r="A133" s="17" t="str">
        <x:v>7-8|Male|SP|12</x:v>
      </x:c>
      <x:c r="B133" s="21" t="str">
        <x:v>7-8</x:v>
      </x:c>
      <x:c r="C133" s="21" t="str">
        <x:v>Male</x:v>
      </x:c>
      <x:c r="D133" s="21" t="str">
        <x:v>SP</x:v>
      </x:c>
      <x:c r="E133" s="21" t="n">
        <x:v>12</x:v>
      </x:c>
      <x:c r="F133" s="21" t="n">
        <x:v>52</x:v>
      </x:c>
    </x:row>
    <x:row r="134">
      <x:c r="A134" s="20" t="str">
        <x:v>7-8|Male|SP|13</x:v>
      </x:c>
      <x:c r="B134" s="22" t="str">
        <x:v>7-8</x:v>
      </x:c>
      <x:c r="C134" s="22" t="str">
        <x:v>Male</x:v>
      </x:c>
      <x:c r="D134" s="22" t="str">
        <x:v>SP</x:v>
      </x:c>
      <x:c r="E134" s="22" t="n">
        <x:v>13</x:v>
      </x:c>
      <x:c r="F134" s="22" t="n">
        <x:v>54</x:v>
      </x:c>
    </x:row>
    <x:row r="135">
      <x:c r="A135" s="17" t="str">
        <x:v>7-8|Male|SP|14</x:v>
      </x:c>
      <x:c r="B135" s="21" t="str">
        <x:v>7-8</x:v>
      </x:c>
      <x:c r="C135" s="21" t="str">
        <x:v>Male</x:v>
      </x:c>
      <x:c r="D135" s="21" t="str">
        <x:v>SP</x:v>
      </x:c>
      <x:c r="E135" s="21" t="n">
        <x:v>14</x:v>
      </x:c>
      <x:c r="F135" s="21" t="n">
        <x:v>56</x:v>
      </x:c>
    </x:row>
    <x:row r="136">
      <x:c r="A136" s="20" t="str">
        <x:v>7-8|Male|SP|15</x:v>
      </x:c>
      <x:c r="B136" s="22" t="str">
        <x:v>7-8</x:v>
      </x:c>
      <x:c r="C136" s="22" t="str">
        <x:v>Male</x:v>
      </x:c>
      <x:c r="D136" s="22" t="str">
        <x:v>SP</x:v>
      </x:c>
      <x:c r="E136" s="22" t="n">
        <x:v>15</x:v>
      </x:c>
      <x:c r="F136" s="22" t="n">
        <x:v>58</x:v>
      </x:c>
    </x:row>
    <x:row r="137">
      <x:c r="A137" s="17" t="str">
        <x:v>7-8|Male|SP|16</x:v>
      </x:c>
      <x:c r="B137" s="21" t="str">
        <x:v>7-8</x:v>
      </x:c>
      <x:c r="C137" s="21" t="str">
        <x:v>Male</x:v>
      </x:c>
      <x:c r="D137" s="21" t="str">
        <x:v>SP</x:v>
      </x:c>
      <x:c r="E137" s="21" t="n">
        <x:v>16</x:v>
      </x:c>
      <x:c r="F137" s="21" t="n">
        <x:v>60</x:v>
      </x:c>
    </x:row>
    <x:row r="138">
      <x:c r="A138" s="20" t="str">
        <x:v>7-8|Male|SP|17</x:v>
      </x:c>
      <x:c r="B138" s="22" t="str">
        <x:v>7-8</x:v>
      </x:c>
      <x:c r="C138" s="22" t="str">
        <x:v>Male</x:v>
      </x:c>
      <x:c r="D138" s="22" t="str">
        <x:v>SP</x:v>
      </x:c>
      <x:c r="E138" s="22" t="n">
        <x:v>17</x:v>
      </x:c>
      <x:c r="F138" s="22" t="n">
        <x:v>63</x:v>
      </x:c>
    </x:row>
    <x:row r="139">
      <x:c r="A139" s="17" t="str">
        <x:v>7-8|Male|SP|18</x:v>
      </x:c>
      <x:c r="B139" s="21" t="str">
        <x:v>7-8</x:v>
      </x:c>
      <x:c r="C139" s="21" t="str">
        <x:v>Male</x:v>
      </x:c>
      <x:c r="D139" s="21" t="str">
        <x:v>SP</x:v>
      </x:c>
      <x:c r="E139" s="21" t="n">
        <x:v>18</x:v>
      </x:c>
      <x:c r="F139" s="21" t="n">
        <x:v>65</x:v>
      </x:c>
    </x:row>
    <x:row r="140">
      <x:c r="A140" s="20" t="str">
        <x:v>7-8|Male|SP|19</x:v>
      </x:c>
      <x:c r="B140" s="22" t="str">
        <x:v>7-8</x:v>
      </x:c>
      <x:c r="C140" s="22" t="str">
        <x:v>Male</x:v>
      </x:c>
      <x:c r="D140" s="22" t="str">
        <x:v>SP</x:v>
      </x:c>
      <x:c r="E140" s="22" t="n">
        <x:v>19</x:v>
      </x:c>
      <x:c r="F140" s="22" t="n">
        <x:v>67</x:v>
      </x:c>
    </x:row>
    <x:row r="141">
      <x:c r="A141" s="17" t="str">
        <x:v>7-8|Male|SP|20</x:v>
      </x:c>
      <x:c r="B141" s="21" t="str">
        <x:v>7-8</x:v>
      </x:c>
      <x:c r="C141" s="21" t="str">
        <x:v>Male</x:v>
      </x:c>
      <x:c r="D141" s="21" t="str">
        <x:v>SP</x:v>
      </x:c>
      <x:c r="E141" s="21" t="n">
        <x:v>20</x:v>
      </x:c>
      <x:c r="F141" s="21" t="n">
        <x:v>69</x:v>
      </x:c>
    </x:row>
    <x:row r="142">
      <x:c r="A142" s="20" t="str">
        <x:v>7-8|Male|SP|21</x:v>
      </x:c>
      <x:c r="B142" s="22" t="str">
        <x:v>7-8</x:v>
      </x:c>
      <x:c r="C142" s="22" t="str">
        <x:v>Male</x:v>
      </x:c>
      <x:c r="D142" s="22" t="str">
        <x:v>SP</x:v>
      </x:c>
      <x:c r="E142" s="22" t="n">
        <x:v>21</x:v>
      </x:c>
      <x:c r="F142" s="22" t="n">
        <x:v>71</x:v>
      </x:c>
    </x:row>
    <x:row r="143">
      <x:c r="A143" s="17" t="str">
        <x:v>7-8|Male|SP|22</x:v>
      </x:c>
      <x:c r="B143" s="21" t="str">
        <x:v>7-8</x:v>
      </x:c>
      <x:c r="C143" s="21" t="str">
        <x:v>Male</x:v>
      </x:c>
      <x:c r="D143" s="21" t="str">
        <x:v>SP</x:v>
      </x:c>
      <x:c r="E143" s="21" t="n">
        <x:v>22</x:v>
      </x:c>
      <x:c r="F143" s="21" t="n">
        <x:v>73</x:v>
      </x:c>
    </x:row>
    <x:row r="144">
      <x:c r="A144" s="20" t="str">
        <x:v>7-8|Male|SP|23</x:v>
      </x:c>
      <x:c r="B144" s="22" t="str">
        <x:v>7-8</x:v>
      </x:c>
      <x:c r="C144" s="22" t="str">
        <x:v>Male</x:v>
      </x:c>
      <x:c r="D144" s="22" t="str">
        <x:v>SP</x:v>
      </x:c>
      <x:c r="E144" s="22" t="n">
        <x:v>23</x:v>
      </x:c>
      <x:c r="F144" s="22" t="n">
        <x:v>75</x:v>
      </x:c>
    </x:row>
    <x:row r="145">
      <x:c r="A145" s="17" t="str">
        <x:v>7-8|Male|SP|24</x:v>
      </x:c>
      <x:c r="B145" s="21" t="str">
        <x:v>7-8</x:v>
      </x:c>
      <x:c r="C145" s="21" t="str">
        <x:v>Male</x:v>
      </x:c>
      <x:c r="D145" s="21" t="str">
        <x:v>SP</x:v>
      </x:c>
      <x:c r="E145" s="21" t="n">
        <x:v>24</x:v>
      </x:c>
      <x:c r="F145" s="21" t="n">
        <x:v>77</x:v>
      </x:c>
    </x:row>
    <x:row r="146">
      <x:c r="A146" s="20" t="str">
        <x:v>7-8|Male|SP|25</x:v>
      </x:c>
      <x:c r="B146" s="22" t="str">
        <x:v>7-8</x:v>
      </x:c>
      <x:c r="C146" s="22" t="str">
        <x:v>Male</x:v>
      </x:c>
      <x:c r="D146" s="22" t="str">
        <x:v>SP</x:v>
      </x:c>
      <x:c r="E146" s="22" t="n">
        <x:v>25</x:v>
      </x:c>
      <x:c r="F146" s="22" t="n">
        <x:v>79</x:v>
      </x:c>
    </x:row>
    <x:row r="147">
      <x:c r="A147" s="17" t="str">
        <x:v>7-8|Male|SP|26</x:v>
      </x:c>
      <x:c r="B147" s="21" t="str">
        <x:v>7-8</x:v>
      </x:c>
      <x:c r="C147" s="21" t="str">
        <x:v>Male</x:v>
      </x:c>
      <x:c r="D147" s="21" t="str">
        <x:v>SP</x:v>
      </x:c>
      <x:c r="E147" s="21" t="n">
        <x:v>26</x:v>
      </x:c>
      <x:c r="F147" s="21" t="n">
        <x:v>82</x:v>
      </x:c>
    </x:row>
    <x:row r="148">
      <x:c r="A148" s="20" t="str">
        <x:v>7-8|Male|SP|27</x:v>
      </x:c>
      <x:c r="B148" s="22" t="str">
        <x:v>7-8</x:v>
      </x:c>
      <x:c r="C148" s="22" t="str">
        <x:v>Male</x:v>
      </x:c>
      <x:c r="D148" s="22" t="str">
        <x:v>SP</x:v>
      </x:c>
      <x:c r="E148" s="22" t="n">
        <x:v>27</x:v>
      </x:c>
      <x:c r="F148" s="22" t="n">
        <x:v>84</x:v>
      </x:c>
    </x:row>
    <x:row r="149">
      <x:c r="A149" s="17" t="str">
        <x:v>7-8|Female|MDD|0</x:v>
      </x:c>
      <x:c r="B149" s="21" t="str">
        <x:v>7-8</x:v>
      </x:c>
      <x:c r="C149" s="21" t="str">
        <x:v>Female</x:v>
      </x:c>
      <x:c r="D149" s="21" t="str">
        <x:v>MDD</x:v>
      </x:c>
      <x:c r="E149" s="21" t="n">
        <x:v>0</x:v>
      </x:c>
      <x:c r="F149" s="21" t="n">
        <x:v>30</x:v>
      </x:c>
    </x:row>
    <x:row r="150">
      <x:c r="A150" s="20" t="str">
        <x:v>7-8|Female|MDD|1</x:v>
      </x:c>
      <x:c r="B150" s="22" t="str">
        <x:v>7-8</x:v>
      </x:c>
      <x:c r="C150" s="22" t="str">
        <x:v>Female</x:v>
      </x:c>
      <x:c r="D150" s="22" t="str">
        <x:v>MDD</x:v>
      </x:c>
      <x:c r="E150" s="22" t="n">
        <x:v>1</x:v>
      </x:c>
      <x:c r="F150" s="22" t="n">
        <x:v>32</x:v>
      </x:c>
    </x:row>
    <x:row r="151">
      <x:c r="A151" s="17" t="str">
        <x:v>7-8|Female|MDD|2</x:v>
      </x:c>
      <x:c r="B151" s="21" t="str">
        <x:v>7-8</x:v>
      </x:c>
      <x:c r="C151" s="21" t="str">
        <x:v>Female</x:v>
      </x:c>
      <x:c r="D151" s="21" t="str">
        <x:v>MDD</x:v>
      </x:c>
      <x:c r="E151" s="21" t="n">
        <x:v>2</x:v>
      </x:c>
      <x:c r="F151" s="21" t="n">
        <x:v>35</x:v>
      </x:c>
    </x:row>
    <x:row r="152">
      <x:c r="A152" s="20" t="str">
        <x:v>7-8|Female|MDD|3</x:v>
      </x:c>
      <x:c r="B152" s="22" t="str">
        <x:v>7-8</x:v>
      </x:c>
      <x:c r="C152" s="22" t="str">
        <x:v>Female</x:v>
      </x:c>
      <x:c r="D152" s="22" t="str">
        <x:v>MDD</x:v>
      </x:c>
      <x:c r="E152" s="22" t="n">
        <x:v>3</x:v>
      </x:c>
      <x:c r="F152" s="22" t="n">
        <x:v>37</x:v>
      </x:c>
    </x:row>
    <x:row r="153">
      <x:c r="A153" s="17" t="str">
        <x:v>7-8|Female|MDD|4</x:v>
      </x:c>
      <x:c r="B153" s="21" t="str">
        <x:v>7-8</x:v>
      </x:c>
      <x:c r="C153" s="21" t="str">
        <x:v>Female</x:v>
      </x:c>
      <x:c r="D153" s="21" t="str">
        <x:v>MDD</x:v>
      </x:c>
      <x:c r="E153" s="21" t="n">
        <x:v>4</x:v>
      </x:c>
      <x:c r="F153" s="21" t="n">
        <x:v>40</x:v>
      </x:c>
    </x:row>
    <x:row r="154">
      <x:c r="A154" s="20" t="str">
        <x:v>7-8|Female|MDD|5</x:v>
      </x:c>
      <x:c r="B154" s="22" t="str">
        <x:v>7-8</x:v>
      </x:c>
      <x:c r="C154" s="22" t="str">
        <x:v>Female</x:v>
      </x:c>
      <x:c r="D154" s="22" t="str">
        <x:v>MDD</x:v>
      </x:c>
      <x:c r="E154" s="22" t="n">
        <x:v>5</x:v>
      </x:c>
      <x:c r="F154" s="22" t="n">
        <x:v>43</x:v>
      </x:c>
    </x:row>
    <x:row r="155">
      <x:c r="A155" s="17" t="str">
        <x:v>7-8|Female|MDD|6</x:v>
      </x:c>
      <x:c r="B155" s="21" t="str">
        <x:v>7-8</x:v>
      </x:c>
      <x:c r="C155" s="21" t="str">
        <x:v>Female</x:v>
      </x:c>
      <x:c r="D155" s="21" t="str">
        <x:v>MDD</x:v>
      </x:c>
      <x:c r="E155" s="21" t="n">
        <x:v>6</x:v>
      </x:c>
      <x:c r="F155" s="21" t="n">
        <x:v>45</x:v>
      </x:c>
    </x:row>
    <x:row r="156">
      <x:c r="A156" s="20" t="str">
        <x:v>7-8|Female|MDD|7</x:v>
      </x:c>
      <x:c r="B156" s="22" t="str">
        <x:v>7-8</x:v>
      </x:c>
      <x:c r="C156" s="22" t="str">
        <x:v>Female</x:v>
      </x:c>
      <x:c r="D156" s="22" t="str">
        <x:v>MDD</x:v>
      </x:c>
      <x:c r="E156" s="22" t="n">
        <x:v>7</x:v>
      </x:c>
      <x:c r="F156" s="22" t="n">
        <x:v>48</x:v>
      </x:c>
    </x:row>
    <x:row r="157">
      <x:c r="A157" s="17" t="str">
        <x:v>7-8|Female|MDD|8</x:v>
      </x:c>
      <x:c r="B157" s="21" t="str">
        <x:v>7-8</x:v>
      </x:c>
      <x:c r="C157" s="21" t="str">
        <x:v>Female</x:v>
      </x:c>
      <x:c r="D157" s="21" t="str">
        <x:v>MDD</x:v>
      </x:c>
      <x:c r="E157" s="21" t="n">
        <x:v>8</x:v>
      </x:c>
      <x:c r="F157" s="21" t="n">
        <x:v>50</x:v>
      </x:c>
    </x:row>
    <x:row r="158">
      <x:c r="A158" s="20" t="str">
        <x:v>7-8|Female|MDD|9</x:v>
      </x:c>
      <x:c r="B158" s="22" t="str">
        <x:v>7-8</x:v>
      </x:c>
      <x:c r="C158" s="22" t="str">
        <x:v>Female</x:v>
      </x:c>
      <x:c r="D158" s="22" t="str">
        <x:v>MDD</x:v>
      </x:c>
      <x:c r="E158" s="22" t="n">
        <x:v>9</x:v>
      </x:c>
      <x:c r="F158" s="22" t="n">
        <x:v>53</x:v>
      </x:c>
    </x:row>
    <x:row r="159">
      <x:c r="A159" s="17" t="str">
        <x:v>7-8|Female|MDD|10</x:v>
      </x:c>
      <x:c r="B159" s="21" t="str">
        <x:v>7-8</x:v>
      </x:c>
      <x:c r="C159" s="21" t="str">
        <x:v>Female</x:v>
      </x:c>
      <x:c r="D159" s="21" t="str">
        <x:v>MDD</x:v>
      </x:c>
      <x:c r="E159" s="21" t="n">
        <x:v>10</x:v>
      </x:c>
      <x:c r="F159" s="21" t="n">
        <x:v>55</x:v>
      </x:c>
    </x:row>
    <x:row r="160">
      <x:c r="A160" s="20" t="str">
        <x:v>7-8|Female|MDD|11</x:v>
      </x:c>
      <x:c r="B160" s="22" t="str">
        <x:v>7-8</x:v>
      </x:c>
      <x:c r="C160" s="22" t="str">
        <x:v>Female</x:v>
      </x:c>
      <x:c r="D160" s="22" t="str">
        <x:v>MDD</x:v>
      </x:c>
      <x:c r="E160" s="22" t="n">
        <x:v>11</x:v>
      </x:c>
      <x:c r="F160" s="22" t="n">
        <x:v>58</x:v>
      </x:c>
    </x:row>
    <x:row r="161">
      <x:c r="A161" s="17" t="str">
        <x:v>7-8|Female|MDD|12</x:v>
      </x:c>
      <x:c r="B161" s="21" t="str">
        <x:v>7-8</x:v>
      </x:c>
      <x:c r="C161" s="21" t="str">
        <x:v>Female</x:v>
      </x:c>
      <x:c r="D161" s="21" t="str">
        <x:v>MDD</x:v>
      </x:c>
      <x:c r="E161" s="21" t="n">
        <x:v>12</x:v>
      </x:c>
      <x:c r="F161" s="21" t="n">
        <x:v>61</x:v>
      </x:c>
    </x:row>
    <x:row r="162">
      <x:c r="A162" s="20" t="str">
        <x:v>7-8|Female|MDD|13</x:v>
      </x:c>
      <x:c r="B162" s="22" t="str">
        <x:v>7-8</x:v>
      </x:c>
      <x:c r="C162" s="22" t="str">
        <x:v>Female</x:v>
      </x:c>
      <x:c r="D162" s="22" t="str">
        <x:v>MDD</x:v>
      </x:c>
      <x:c r="E162" s="22" t="n">
        <x:v>13</x:v>
      </x:c>
      <x:c r="F162" s="22" t="n">
        <x:v>63</x:v>
      </x:c>
    </x:row>
    <x:row r="163">
      <x:c r="A163" s="17" t="str">
        <x:v>7-8|Female|MDD|14</x:v>
      </x:c>
      <x:c r="B163" s="21" t="str">
        <x:v>7-8</x:v>
      </x:c>
      <x:c r="C163" s="21" t="str">
        <x:v>Female</x:v>
      </x:c>
      <x:c r="D163" s="21" t="str">
        <x:v>MDD</x:v>
      </x:c>
      <x:c r="E163" s="21" t="n">
        <x:v>14</x:v>
      </x:c>
      <x:c r="F163" s="21" t="n">
        <x:v>66</x:v>
      </x:c>
    </x:row>
    <x:row r="164">
      <x:c r="A164" s="20" t="str">
        <x:v>7-8|Female|MDD|15</x:v>
      </x:c>
      <x:c r="B164" s="22" t="str">
        <x:v>7-8</x:v>
      </x:c>
      <x:c r="C164" s="22" t="str">
        <x:v>Female</x:v>
      </x:c>
      <x:c r="D164" s="22" t="str">
        <x:v>MDD</x:v>
      </x:c>
      <x:c r="E164" s="22" t="n">
        <x:v>15</x:v>
      </x:c>
      <x:c r="F164" s="22" t="n">
        <x:v>68</x:v>
      </x:c>
    </x:row>
    <x:row r="165">
      <x:c r="A165" s="17" t="str">
        <x:v>7-8|Female|MDD|16</x:v>
      </x:c>
      <x:c r="B165" s="21" t="str">
        <x:v>7-8</x:v>
      </x:c>
      <x:c r="C165" s="21" t="str">
        <x:v>Female</x:v>
      </x:c>
      <x:c r="D165" s="21" t="str">
        <x:v>MDD</x:v>
      </x:c>
      <x:c r="E165" s="21" t="n">
        <x:v>16</x:v>
      </x:c>
      <x:c r="F165" s="21" t="n">
        <x:v>71</x:v>
      </x:c>
    </x:row>
    <x:row r="166">
      <x:c r="A166" s="20" t="str">
        <x:v>7-8|Female|MDD|17</x:v>
      </x:c>
      <x:c r="B166" s="22" t="str">
        <x:v>7-8</x:v>
      </x:c>
      <x:c r="C166" s="22" t="str">
        <x:v>Female</x:v>
      </x:c>
      <x:c r="D166" s="22" t="str">
        <x:v>MDD</x:v>
      </x:c>
      <x:c r="E166" s="22" t="n">
        <x:v>17</x:v>
      </x:c>
      <x:c r="F166" s="22" t="n">
        <x:v>73</x:v>
      </x:c>
    </x:row>
    <x:row r="167">
      <x:c r="A167" s="17" t="str">
        <x:v>7-8|Female|MDD|18</x:v>
      </x:c>
      <x:c r="B167" s="21" t="str">
        <x:v>7-8</x:v>
      </x:c>
      <x:c r="C167" s="21" t="str">
        <x:v>Female</x:v>
      </x:c>
      <x:c r="D167" s="21" t="str">
        <x:v>MDD</x:v>
      </x:c>
      <x:c r="E167" s="21" t="n">
        <x:v>18</x:v>
      </x:c>
      <x:c r="F167" s="21" t="n">
        <x:v>76</x:v>
      </x:c>
    </x:row>
    <x:row r="168">
      <x:c r="A168" s="20" t="str">
        <x:v>7-8|Female|MDD|19</x:v>
      </x:c>
      <x:c r="B168" s="22" t="str">
        <x:v>7-8</x:v>
      </x:c>
      <x:c r="C168" s="22" t="str">
        <x:v>Female</x:v>
      </x:c>
      <x:c r="D168" s="22" t="str">
        <x:v>MDD</x:v>
      </x:c>
      <x:c r="E168" s="22" t="n">
        <x:v>19</x:v>
      </x:c>
      <x:c r="F168" s="22" t="n">
        <x:v>78</x:v>
      </x:c>
    </x:row>
    <x:row r="169">
      <x:c r="A169" s="17" t="str">
        <x:v>7-8|Female|MDD|20</x:v>
      </x:c>
      <x:c r="B169" s="21" t="str">
        <x:v>7-8</x:v>
      </x:c>
      <x:c r="C169" s="21" t="str">
        <x:v>Female</x:v>
      </x:c>
      <x:c r="D169" s="21" t="str">
        <x:v>MDD</x:v>
      </x:c>
      <x:c r="E169" s="21" t="n">
        <x:v>20</x:v>
      </x:c>
      <x:c r="F169" s="21" t="n">
        <x:v>81</x:v>
      </x:c>
    </x:row>
    <x:row r="170">
      <x:c r="A170" s="20" t="str">
        <x:v>7-8|Female|MDD|21</x:v>
      </x:c>
      <x:c r="B170" s="22" t="str">
        <x:v>7-8</x:v>
      </x:c>
      <x:c r="C170" s="22" t="str">
        <x:v>Female</x:v>
      </x:c>
      <x:c r="D170" s="22" t="str">
        <x:v>MDD</x:v>
      </x:c>
      <x:c r="E170" s="22" t="n">
        <x:v>21</x:v>
      </x:c>
      <x:c r="F170" s="22" t="n">
        <x:v>84</x:v>
      </x:c>
    </x:row>
    <x:row r="171">
      <x:c r="A171" s="17" t="str">
        <x:v>7-8|Female|MDD|22</x:v>
      </x:c>
      <x:c r="B171" s="21" t="str">
        <x:v>7-8</x:v>
      </x:c>
      <x:c r="C171" s="21" t="str">
        <x:v>Female</x:v>
      </x:c>
      <x:c r="D171" s="21" t="str">
        <x:v>MDD</x:v>
      </x:c>
      <x:c r="E171" s="21" t="n">
        <x:v>22</x:v>
      </x:c>
      <x:c r="F171" s="21" t="n">
        <x:v>86</x:v>
      </x:c>
    </x:row>
    <x:row r="172">
      <x:c r="A172" s="20" t="str">
        <x:v>7-8|Female|MDD|23</x:v>
      </x:c>
      <x:c r="B172" s="22" t="str">
        <x:v>7-8</x:v>
      </x:c>
      <x:c r="C172" s="22" t="str">
        <x:v>Female</x:v>
      </x:c>
      <x:c r="D172" s="22" t="str">
        <x:v>MDD</x:v>
      </x:c>
      <x:c r="E172" s="22" t="n">
        <x:v>23</x:v>
      </x:c>
      <x:c r="F172" s="22" t="n">
        <x:v>89</x:v>
      </x:c>
    </x:row>
    <x:row r="173">
      <x:c r="A173" s="17" t="str">
        <x:v>7-8|Female|MDD|24</x:v>
      </x:c>
      <x:c r="B173" s="21" t="str">
        <x:v>7-8</x:v>
      </x:c>
      <x:c r="C173" s="21" t="str">
        <x:v>Female</x:v>
      </x:c>
      <x:c r="D173" s="21" t="str">
        <x:v>MDD</x:v>
      </x:c>
      <x:c r="E173" s="21" t="n">
        <x:v>24</x:v>
      </x:c>
      <x:c r="F173" s="21" t="n">
        <x:v>91</x:v>
      </x:c>
    </x:row>
    <x:row r="174">
      <x:c r="A174" s="20" t="str">
        <x:v>7-8|Female|MDD|25</x:v>
      </x:c>
      <x:c r="B174" s="22" t="str">
        <x:v>7-8</x:v>
      </x:c>
      <x:c r="C174" s="22" t="str">
        <x:v>Female</x:v>
      </x:c>
      <x:c r="D174" s="22" t="str">
        <x:v>MDD</x:v>
      </x:c>
      <x:c r="E174" s="22" t="n">
        <x:v>25</x:v>
      </x:c>
      <x:c r="F174" s="22" t="n">
        <x:v>94</x:v>
      </x:c>
    </x:row>
    <x:row r="175">
      <x:c r="A175" s="17" t="str">
        <x:v>7-8|Female|MDD|26</x:v>
      </x:c>
      <x:c r="B175" s="21" t="str">
        <x:v>7-8</x:v>
      </x:c>
      <x:c r="C175" s="21" t="str">
        <x:v>Female</x:v>
      </x:c>
      <x:c r="D175" s="21" t="str">
        <x:v>MDD</x:v>
      </x:c>
      <x:c r="E175" s="21" t="n">
        <x:v>26</x:v>
      </x:c>
      <x:c r="F175" s="21" t="n">
        <x:v>96</x:v>
      </x:c>
    </x:row>
    <x:row r="176">
      <x:c r="A176" s="20" t="str">
        <x:v>7-8|Female|MDD|27</x:v>
      </x:c>
      <x:c r="B176" s="22" t="str">
        <x:v>7-8</x:v>
      </x:c>
      <x:c r="C176" s="22" t="str">
        <x:v>Female</x:v>
      </x:c>
      <x:c r="D176" s="22" t="str">
        <x:v>MDD</x:v>
      </x:c>
      <x:c r="E176" s="22" t="n">
        <x:v>27</x:v>
      </x:c>
      <x:c r="F176" s="22" t="n">
        <x:v>99</x:v>
      </x:c>
    </x:row>
    <x:row r="177">
      <x:c r="A177" s="17" t="str">
        <x:v>7-8|Female|MDD|28</x:v>
      </x:c>
      <x:c r="B177" s="21" t="str">
        <x:v>7-8</x:v>
      </x:c>
      <x:c r="C177" s="21" t="str">
        <x:v>Female</x:v>
      </x:c>
      <x:c r="D177" s="21" t="str">
        <x:v>MDD</x:v>
      </x:c>
      <x:c r="E177" s="21" t="n">
        <x:v>28</x:v>
      </x:c>
      <x:c r="F177" s="21" t="n">
        <x:v>101</x:v>
      </x:c>
    </x:row>
    <x:row r="178">
      <x:c r="A178" s="20" t="str">
        <x:v>7-8|Female|MDD|29</x:v>
      </x:c>
      <x:c r="B178" s="22" t="str">
        <x:v>7-8</x:v>
      </x:c>
      <x:c r="C178" s="22" t="str">
        <x:v>Female</x:v>
      </x:c>
      <x:c r="D178" s="22" t="str">
        <x:v>MDD</x:v>
      </x:c>
      <x:c r="E178" s="22" t="n">
        <x:v>29</x:v>
      </x:c>
      <x:c r="F178" s="22" t="n">
        <x:v>104</x:v>
      </x:c>
    </x:row>
    <x:row r="179">
      <x:c r="A179" s="17" t="str">
        <x:v>7-8|Female|MDD|30</x:v>
      </x:c>
      <x:c r="B179" s="21" t="str">
        <x:v>7-8</x:v>
      </x:c>
      <x:c r="C179" s="21" t="str">
        <x:v>Female</x:v>
      </x:c>
      <x:c r="D179" s="21" t="str">
        <x:v>MDD</x:v>
      </x:c>
      <x:c r="E179" s="21" t="n">
        <x:v>30</x:v>
      </x:c>
      <x:c r="F179" s="21" t="n">
        <x:v>107</x:v>
      </x:c>
    </x:row>
    <x:row r="180">
      <x:c r="A180" s="20" t="str">
        <x:v>7-8|Female|GAD|0</x:v>
      </x:c>
      <x:c r="B180" s="22" t="str">
        <x:v>7-8</x:v>
      </x:c>
      <x:c r="C180" s="22" t="str">
        <x:v>Female</x:v>
      </x:c>
      <x:c r="D180" s="22" t="str">
        <x:v>GAD</x:v>
      </x:c>
      <x:c r="E180" s="22" t="n">
        <x:v>0</x:v>
      </x:c>
      <x:c r="F180" s="22" t="n">
        <x:v>27</x:v>
      </x:c>
    </x:row>
    <x:row r="181">
      <x:c r="A181" s="17" t="str">
        <x:v>7-8|Female|GAD|1</x:v>
      </x:c>
      <x:c r="B181" s="21" t="str">
        <x:v>7-8</x:v>
      </x:c>
      <x:c r="C181" s="21" t="str">
        <x:v>Female</x:v>
      </x:c>
      <x:c r="D181" s="21" t="str">
        <x:v>GAD</x:v>
      </x:c>
      <x:c r="E181" s="21" t="n">
        <x:v>1</x:v>
      </x:c>
      <x:c r="F181" s="21" t="n">
        <x:v>30</x:v>
      </x:c>
    </x:row>
    <x:row r="182">
      <x:c r="A182" s="20" t="str">
        <x:v>7-8|Female|GAD|2</x:v>
      </x:c>
      <x:c r="B182" s="22" t="str">
        <x:v>7-8</x:v>
      </x:c>
      <x:c r="C182" s="22" t="str">
        <x:v>Female</x:v>
      </x:c>
      <x:c r="D182" s="22" t="str">
        <x:v>GAD</x:v>
      </x:c>
      <x:c r="E182" s="22" t="n">
        <x:v>2</x:v>
      </x:c>
      <x:c r="F182" s="22" t="n">
        <x:v>33</x:v>
      </x:c>
    </x:row>
    <x:row r="183">
      <x:c r="A183" s="17" t="str">
        <x:v>7-8|Female|GAD|3</x:v>
      </x:c>
      <x:c r="B183" s="21" t="str">
        <x:v>7-8</x:v>
      </x:c>
      <x:c r="C183" s="21" t="str">
        <x:v>Female</x:v>
      </x:c>
      <x:c r="D183" s="21" t="str">
        <x:v>GAD</x:v>
      </x:c>
      <x:c r="E183" s="21" t="n">
        <x:v>3</x:v>
      </x:c>
      <x:c r="F183" s="21" t="n">
        <x:v>36</x:v>
      </x:c>
    </x:row>
    <x:row r="184">
      <x:c r="A184" s="20" t="str">
        <x:v>7-8|Female|GAD|4</x:v>
      </x:c>
      <x:c r="B184" s="22" t="str">
        <x:v>7-8</x:v>
      </x:c>
      <x:c r="C184" s="22" t="str">
        <x:v>Female</x:v>
      </x:c>
      <x:c r="D184" s="22" t="str">
        <x:v>GAD</x:v>
      </x:c>
      <x:c r="E184" s="22" t="n">
        <x:v>4</x:v>
      </x:c>
      <x:c r="F184" s="22" t="n">
        <x:v>39</x:v>
      </x:c>
    </x:row>
    <x:row r="185">
      <x:c r="A185" s="17" t="str">
        <x:v>7-8|Female|GAD|5</x:v>
      </x:c>
      <x:c r="B185" s="21" t="str">
        <x:v>7-8</x:v>
      </x:c>
      <x:c r="C185" s="21" t="str">
        <x:v>Female</x:v>
      </x:c>
      <x:c r="D185" s="21" t="str">
        <x:v>GAD</x:v>
      </x:c>
      <x:c r="E185" s="21" t="n">
        <x:v>5</x:v>
      </x:c>
      <x:c r="F185" s="21" t="n">
        <x:v>42</x:v>
      </x:c>
    </x:row>
    <x:row r="186">
      <x:c r="A186" s="20" t="str">
        <x:v>7-8|Female|GAD|6</x:v>
      </x:c>
      <x:c r="B186" s="22" t="str">
        <x:v>7-8</x:v>
      </x:c>
      <x:c r="C186" s="22" t="str">
        <x:v>Female</x:v>
      </x:c>
      <x:c r="D186" s="22" t="str">
        <x:v>GAD</x:v>
      </x:c>
      <x:c r="E186" s="22" t="n">
        <x:v>6</x:v>
      </x:c>
      <x:c r="F186" s="22" t="n">
        <x:v>46</x:v>
      </x:c>
    </x:row>
    <x:row r="187">
      <x:c r="A187" s="17" t="str">
        <x:v>7-8|Female|GAD|7</x:v>
      </x:c>
      <x:c r="B187" s="21" t="str">
        <x:v>7-8</x:v>
      </x:c>
      <x:c r="C187" s="21" t="str">
        <x:v>Female</x:v>
      </x:c>
      <x:c r="D187" s="21" t="str">
        <x:v>GAD</x:v>
      </x:c>
      <x:c r="E187" s="21" t="n">
        <x:v>7</x:v>
      </x:c>
      <x:c r="F187" s="21" t="n">
        <x:v>49</x:v>
      </x:c>
    </x:row>
    <x:row r="188">
      <x:c r="A188" s="20" t="str">
        <x:v>7-8|Female|GAD|8</x:v>
      </x:c>
      <x:c r="B188" s="22" t="str">
        <x:v>7-8</x:v>
      </x:c>
      <x:c r="C188" s="22" t="str">
        <x:v>Female</x:v>
      </x:c>
      <x:c r="D188" s="22" t="str">
        <x:v>GAD</x:v>
      </x:c>
      <x:c r="E188" s="22" t="n">
        <x:v>8</x:v>
      </x:c>
      <x:c r="F188" s="22" t="n">
        <x:v>52</x:v>
      </x:c>
    </x:row>
    <x:row r="189">
      <x:c r="A189" s="17" t="str">
        <x:v>7-8|Female|GAD|9</x:v>
      </x:c>
      <x:c r="B189" s="21" t="str">
        <x:v>7-8</x:v>
      </x:c>
      <x:c r="C189" s="21" t="str">
        <x:v>Female</x:v>
      </x:c>
      <x:c r="D189" s="21" t="str">
        <x:v>GAD</x:v>
      </x:c>
      <x:c r="E189" s="21" t="n">
        <x:v>9</x:v>
      </x:c>
      <x:c r="F189" s="21" t="n">
        <x:v>55</x:v>
      </x:c>
    </x:row>
    <x:row r="190">
      <x:c r="A190" s="20" t="str">
        <x:v>7-8|Female|GAD|10</x:v>
      </x:c>
      <x:c r="B190" s="22" t="str">
        <x:v>7-8</x:v>
      </x:c>
      <x:c r="C190" s="22" t="str">
        <x:v>Female</x:v>
      </x:c>
      <x:c r="D190" s="22" t="str">
        <x:v>GAD</x:v>
      </x:c>
      <x:c r="E190" s="22" t="n">
        <x:v>10</x:v>
      </x:c>
      <x:c r="F190" s="22" t="n">
        <x:v>58</x:v>
      </x:c>
    </x:row>
    <x:row r="191">
      <x:c r="A191" s="17" t="str">
        <x:v>7-8|Female|GAD|11</x:v>
      </x:c>
      <x:c r="B191" s="21" t="str">
        <x:v>7-8</x:v>
      </x:c>
      <x:c r="C191" s="21" t="str">
        <x:v>Female</x:v>
      </x:c>
      <x:c r="D191" s="21" t="str">
        <x:v>GAD</x:v>
      </x:c>
      <x:c r="E191" s="21" t="n">
        <x:v>11</x:v>
      </x:c>
      <x:c r="F191" s="21" t="n">
        <x:v>61</x:v>
      </x:c>
    </x:row>
    <x:row r="192">
      <x:c r="A192" s="20" t="str">
        <x:v>7-8|Female|GAD|12</x:v>
      </x:c>
      <x:c r="B192" s="22" t="str">
        <x:v>7-8</x:v>
      </x:c>
      <x:c r="C192" s="22" t="str">
        <x:v>Female</x:v>
      </x:c>
      <x:c r="D192" s="22" t="str">
        <x:v>GAD</x:v>
      </x:c>
      <x:c r="E192" s="22" t="n">
        <x:v>12</x:v>
      </x:c>
      <x:c r="F192" s="22" t="n">
        <x:v>64</x:v>
      </x:c>
    </x:row>
    <x:row r="193">
      <x:c r="A193" s="17" t="str">
        <x:v>7-8|Female|GAD|13</x:v>
      </x:c>
      <x:c r="B193" s="21" t="str">
        <x:v>7-8</x:v>
      </x:c>
      <x:c r="C193" s="21" t="str">
        <x:v>Female</x:v>
      </x:c>
      <x:c r="D193" s="21" t="str">
        <x:v>GAD</x:v>
      </x:c>
      <x:c r="E193" s="21" t="n">
        <x:v>13</x:v>
      </x:c>
      <x:c r="F193" s="21" t="n">
        <x:v>68</x:v>
      </x:c>
    </x:row>
    <x:row r="194">
      <x:c r="A194" s="20" t="str">
        <x:v>7-8|Female|GAD|14</x:v>
      </x:c>
      <x:c r="B194" s="22" t="str">
        <x:v>7-8</x:v>
      </x:c>
      <x:c r="C194" s="22" t="str">
        <x:v>Female</x:v>
      </x:c>
      <x:c r="D194" s="22" t="str">
        <x:v>GAD</x:v>
      </x:c>
      <x:c r="E194" s="22" t="n">
        <x:v>14</x:v>
      </x:c>
      <x:c r="F194" s="22" t="n">
        <x:v>71</x:v>
      </x:c>
    </x:row>
    <x:row r="195">
      <x:c r="A195" s="17" t="str">
        <x:v>7-8|Female|GAD|15</x:v>
      </x:c>
      <x:c r="B195" s="21" t="str">
        <x:v>7-8</x:v>
      </x:c>
      <x:c r="C195" s="21" t="str">
        <x:v>Female</x:v>
      </x:c>
      <x:c r="D195" s="21" t="str">
        <x:v>GAD</x:v>
      </x:c>
      <x:c r="E195" s="21" t="n">
        <x:v>15</x:v>
      </x:c>
      <x:c r="F195" s="21" t="n">
        <x:v>74</x:v>
      </x:c>
    </x:row>
    <x:row r="196">
      <x:c r="A196" s="20" t="str">
        <x:v>7-8|Female|GAD|16</x:v>
      </x:c>
      <x:c r="B196" s="22" t="str">
        <x:v>7-8</x:v>
      </x:c>
      <x:c r="C196" s="22" t="str">
        <x:v>Female</x:v>
      </x:c>
      <x:c r="D196" s="22" t="str">
        <x:v>GAD</x:v>
      </x:c>
      <x:c r="E196" s="22" t="n">
        <x:v>16</x:v>
      </x:c>
      <x:c r="F196" s="22" t="n">
        <x:v>77</x:v>
      </x:c>
    </x:row>
    <x:row r="197">
      <x:c r="A197" s="17" t="str">
        <x:v>7-8|Female|GAD|17</x:v>
      </x:c>
      <x:c r="B197" s="21" t="str">
        <x:v>7-8</x:v>
      </x:c>
      <x:c r="C197" s="21" t="str">
        <x:v>Female</x:v>
      </x:c>
      <x:c r="D197" s="21" t="str">
        <x:v>GAD</x:v>
      </x:c>
      <x:c r="E197" s="21" t="n">
        <x:v>17</x:v>
      </x:c>
      <x:c r="F197" s="21" t="n">
        <x:v>80</x:v>
      </x:c>
    </x:row>
    <x:row r="198">
      <x:c r="A198" s="20" t="str">
        <x:v>7-8|Female|GAD|18</x:v>
      </x:c>
      <x:c r="B198" s="22" t="str">
        <x:v>7-8</x:v>
      </x:c>
      <x:c r="C198" s="22" t="str">
        <x:v>Female</x:v>
      </x:c>
      <x:c r="D198" s="22" t="str">
        <x:v>GAD</x:v>
      </x:c>
      <x:c r="E198" s="22" t="n">
        <x:v>18</x:v>
      </x:c>
      <x:c r="F198" s="22" t="n">
        <x:v>83</x:v>
      </x:c>
    </x:row>
    <x:row r="199">
      <x:c r="A199" s="17" t="str">
        <x:v>7-8|Female|OCD|0</x:v>
      </x:c>
      <x:c r="B199" s="21" t="str">
        <x:v>7-8</x:v>
      </x:c>
      <x:c r="C199" s="21" t="str">
        <x:v>Female</x:v>
      </x:c>
      <x:c r="D199" s="21" t="str">
        <x:v>OCD</x:v>
      </x:c>
      <x:c r="E199" s="21" t="n">
        <x:v>0</x:v>
      </x:c>
      <x:c r="F199" s="21" t="n">
        <x:v>35</x:v>
      </x:c>
    </x:row>
    <x:row r="200">
      <x:c r="A200" s="20" t="str">
        <x:v>7-8|Female|OCD|1</x:v>
      </x:c>
      <x:c r="B200" s="22" t="str">
        <x:v>7-8</x:v>
      </x:c>
      <x:c r="C200" s="22" t="str">
        <x:v>Female</x:v>
      </x:c>
      <x:c r="D200" s="22" t="str">
        <x:v>OCD</x:v>
      </x:c>
      <x:c r="E200" s="22" t="n">
        <x:v>1</x:v>
      </x:c>
      <x:c r="F200" s="22" t="n">
        <x:v>38</x:v>
      </x:c>
    </x:row>
    <x:row r="201">
      <x:c r="A201" s="17" t="str">
        <x:v>7-8|Female|OCD|2</x:v>
      </x:c>
      <x:c r="B201" s="21" t="str">
        <x:v>7-8</x:v>
      </x:c>
      <x:c r="C201" s="21" t="str">
        <x:v>Female</x:v>
      </x:c>
      <x:c r="D201" s="21" t="str">
        <x:v>OCD</x:v>
      </x:c>
      <x:c r="E201" s="21" t="n">
        <x:v>2</x:v>
      </x:c>
      <x:c r="F201" s="21" t="n">
        <x:v>41</x:v>
      </x:c>
    </x:row>
    <x:row r="202">
      <x:c r="A202" s="20" t="str">
        <x:v>7-8|Female|OCD|3</x:v>
      </x:c>
      <x:c r="B202" s="22" t="str">
        <x:v>7-8</x:v>
      </x:c>
      <x:c r="C202" s="22" t="str">
        <x:v>Female</x:v>
      </x:c>
      <x:c r="D202" s="22" t="str">
        <x:v>OCD</x:v>
      </x:c>
      <x:c r="E202" s="22" t="n">
        <x:v>3</x:v>
      </x:c>
      <x:c r="F202" s="22" t="n">
        <x:v>44</x:v>
      </x:c>
    </x:row>
    <x:row r="203">
      <x:c r="A203" s="17" t="str">
        <x:v>7-8|Female|OCD|4</x:v>
      </x:c>
      <x:c r="B203" s="21" t="str">
        <x:v>7-8</x:v>
      </x:c>
      <x:c r="C203" s="21" t="str">
        <x:v>Female</x:v>
      </x:c>
      <x:c r="D203" s="21" t="str">
        <x:v>OCD</x:v>
      </x:c>
      <x:c r="E203" s="21" t="n">
        <x:v>4</x:v>
      </x:c>
      <x:c r="F203" s="21" t="n">
        <x:v>47</x:v>
      </x:c>
    </x:row>
    <x:row r="204">
      <x:c r="A204" s="20" t="str">
        <x:v>7-8|Female|OCD|5</x:v>
      </x:c>
      <x:c r="B204" s="22" t="str">
        <x:v>7-8</x:v>
      </x:c>
      <x:c r="C204" s="22" t="str">
        <x:v>Female</x:v>
      </x:c>
      <x:c r="D204" s="22" t="str">
        <x:v>OCD</x:v>
      </x:c>
      <x:c r="E204" s="22" t="n">
        <x:v>5</x:v>
      </x:c>
      <x:c r="F204" s="22" t="n">
        <x:v>50</x:v>
      </x:c>
    </x:row>
    <x:row r="205">
      <x:c r="A205" s="17" t="str">
        <x:v>7-8|Female|OCD|6</x:v>
      </x:c>
      <x:c r="B205" s="21" t="str">
        <x:v>7-8</x:v>
      </x:c>
      <x:c r="C205" s="21" t="str">
        <x:v>Female</x:v>
      </x:c>
      <x:c r="D205" s="21" t="str">
        <x:v>OCD</x:v>
      </x:c>
      <x:c r="E205" s="21" t="n">
        <x:v>6</x:v>
      </x:c>
      <x:c r="F205" s="21" t="n">
        <x:v>53</x:v>
      </x:c>
    </x:row>
    <x:row r="206">
      <x:c r="A206" s="20" t="str">
        <x:v>7-8|Female|OCD|7</x:v>
      </x:c>
      <x:c r="B206" s="22" t="str">
        <x:v>7-8</x:v>
      </x:c>
      <x:c r="C206" s="22" t="str">
        <x:v>Female</x:v>
      </x:c>
      <x:c r="D206" s="22" t="str">
        <x:v>OCD</x:v>
      </x:c>
      <x:c r="E206" s="22" t="n">
        <x:v>7</x:v>
      </x:c>
      <x:c r="F206" s="22" t="n">
        <x:v>56</x:v>
      </x:c>
    </x:row>
    <x:row r="207">
      <x:c r="A207" s="17" t="str">
        <x:v>7-8|Female|OCD|8</x:v>
      </x:c>
      <x:c r="B207" s="21" t="str">
        <x:v>7-8</x:v>
      </x:c>
      <x:c r="C207" s="21" t="str">
        <x:v>Female</x:v>
      </x:c>
      <x:c r="D207" s="21" t="str">
        <x:v>OCD</x:v>
      </x:c>
      <x:c r="E207" s="21" t="n">
        <x:v>8</x:v>
      </x:c>
      <x:c r="F207" s="21" t="n">
        <x:v>59</x:v>
      </x:c>
    </x:row>
    <x:row r="208">
      <x:c r="A208" s="20" t="str">
        <x:v>7-8|Female|OCD|9</x:v>
      </x:c>
      <x:c r="B208" s="22" t="str">
        <x:v>7-8</x:v>
      </x:c>
      <x:c r="C208" s="22" t="str">
        <x:v>Female</x:v>
      </x:c>
      <x:c r="D208" s="22" t="str">
        <x:v>OCD</x:v>
      </x:c>
      <x:c r="E208" s="22" t="n">
        <x:v>9</x:v>
      </x:c>
      <x:c r="F208" s="22" t="n">
        <x:v>62</x:v>
      </x:c>
    </x:row>
    <x:row r="209">
      <x:c r="A209" s="17" t="str">
        <x:v>7-8|Female|OCD|10</x:v>
      </x:c>
      <x:c r="B209" s="21" t="str">
        <x:v>7-8</x:v>
      </x:c>
      <x:c r="C209" s="21" t="str">
        <x:v>Female</x:v>
      </x:c>
      <x:c r="D209" s="21" t="str">
        <x:v>OCD</x:v>
      </x:c>
      <x:c r="E209" s="21" t="n">
        <x:v>10</x:v>
      </x:c>
      <x:c r="F209" s="21" t="n">
        <x:v>65</x:v>
      </x:c>
    </x:row>
    <x:row r="210">
      <x:c r="A210" s="20" t="str">
        <x:v>7-8|Female|OCD|11</x:v>
      </x:c>
      <x:c r="B210" s="22" t="str">
        <x:v>7-8</x:v>
      </x:c>
      <x:c r="C210" s="22" t="str">
        <x:v>Female</x:v>
      </x:c>
      <x:c r="D210" s="22" t="str">
        <x:v>OCD</x:v>
      </x:c>
      <x:c r="E210" s="22" t="n">
        <x:v>11</x:v>
      </x:c>
      <x:c r="F210" s="22" t="n">
        <x:v>68</x:v>
      </x:c>
    </x:row>
    <x:row r="211">
      <x:c r="A211" s="17" t="str">
        <x:v>7-8|Female|OCD|12</x:v>
      </x:c>
      <x:c r="B211" s="21" t="str">
        <x:v>7-8</x:v>
      </x:c>
      <x:c r="C211" s="21" t="str">
        <x:v>Female</x:v>
      </x:c>
      <x:c r="D211" s="21" t="str">
        <x:v>OCD</x:v>
      </x:c>
      <x:c r="E211" s="21" t="n">
        <x:v>12</x:v>
      </x:c>
      <x:c r="F211" s="21" t="n">
        <x:v>71</x:v>
      </x:c>
    </x:row>
    <x:row r="212">
      <x:c r="A212" s="20" t="str">
        <x:v>7-8|Female|OCD|13</x:v>
      </x:c>
      <x:c r="B212" s="22" t="str">
        <x:v>7-8</x:v>
      </x:c>
      <x:c r="C212" s="22" t="str">
        <x:v>Female</x:v>
      </x:c>
      <x:c r="D212" s="22" t="str">
        <x:v>OCD</x:v>
      </x:c>
      <x:c r="E212" s="22" t="n">
        <x:v>13</x:v>
      </x:c>
      <x:c r="F212" s="22" t="n">
        <x:v>74</x:v>
      </x:c>
    </x:row>
    <x:row r="213">
      <x:c r="A213" s="17" t="str">
        <x:v>7-8|Female|OCD|14</x:v>
      </x:c>
      <x:c r="B213" s="21" t="str">
        <x:v>7-8</x:v>
      </x:c>
      <x:c r="C213" s="21" t="str">
        <x:v>Female</x:v>
      </x:c>
      <x:c r="D213" s="21" t="str">
        <x:v>OCD</x:v>
      </x:c>
      <x:c r="E213" s="21" t="n">
        <x:v>14</x:v>
      </x:c>
      <x:c r="F213" s="21" t="n">
        <x:v>77</x:v>
      </x:c>
    </x:row>
    <x:row r="214">
      <x:c r="A214" s="20" t="str">
        <x:v>7-8|Female|OCD|15</x:v>
      </x:c>
      <x:c r="B214" s="22" t="str">
        <x:v>7-8</x:v>
      </x:c>
      <x:c r="C214" s="22" t="str">
        <x:v>Female</x:v>
      </x:c>
      <x:c r="D214" s="22" t="str">
        <x:v>OCD</x:v>
      </x:c>
      <x:c r="E214" s="22" t="n">
        <x:v>15</x:v>
      </x:c>
      <x:c r="F214" s="22" t="n">
        <x:v>80</x:v>
      </x:c>
    </x:row>
    <x:row r="215">
      <x:c r="A215" s="17" t="str">
        <x:v>7-8|Female|OCD|16</x:v>
      </x:c>
      <x:c r="B215" s="21" t="str">
        <x:v>7-8</x:v>
      </x:c>
      <x:c r="C215" s="21" t="str">
        <x:v>Female</x:v>
      </x:c>
      <x:c r="D215" s="21" t="str">
        <x:v>OCD</x:v>
      </x:c>
      <x:c r="E215" s="21" t="n">
        <x:v>16</x:v>
      </x:c>
      <x:c r="F215" s="21" t="n">
        <x:v>83</x:v>
      </x:c>
    </x:row>
    <x:row r="216">
      <x:c r="A216" s="20" t="str">
        <x:v>7-8|Female|OCD|17</x:v>
      </x:c>
      <x:c r="B216" s="22" t="str">
        <x:v>7-8</x:v>
      </x:c>
      <x:c r="C216" s="22" t="str">
        <x:v>Female</x:v>
      </x:c>
      <x:c r="D216" s="22" t="str">
        <x:v>OCD</x:v>
      </x:c>
      <x:c r="E216" s="22" t="n">
        <x:v>17</x:v>
      </x:c>
      <x:c r="F216" s="22" t="n">
        <x:v>86</x:v>
      </x:c>
    </x:row>
    <x:row r="217">
      <x:c r="A217" s="17" t="str">
        <x:v>7-8|Female|OCD|18</x:v>
      </x:c>
      <x:c r="B217" s="21" t="str">
        <x:v>7-8</x:v>
      </x:c>
      <x:c r="C217" s="21" t="str">
        <x:v>Female</x:v>
      </x:c>
      <x:c r="D217" s="21" t="str">
        <x:v>OCD</x:v>
      </x:c>
      <x:c r="E217" s="21" t="n">
        <x:v>18</x:v>
      </x:c>
      <x:c r="F217" s="21" t="n">
        <x:v>89</x:v>
      </x:c>
    </x:row>
    <x:row r="218">
      <x:c r="A218" s="20" t="str">
        <x:v>7-8|Female|PD|0</x:v>
      </x:c>
      <x:c r="B218" s="22" t="str">
        <x:v>7-8</x:v>
      </x:c>
      <x:c r="C218" s="22" t="str">
        <x:v>Female</x:v>
      </x:c>
      <x:c r="D218" s="22" t="str">
        <x:v>PD</x:v>
      </x:c>
      <x:c r="E218" s="22" t="n">
        <x:v>0</x:v>
      </x:c>
      <x:c r="F218" s="22" t="n">
        <x:v>37</x:v>
      </x:c>
    </x:row>
    <x:row r="219">
      <x:c r="A219" s="17" t="str">
        <x:v>7-8|Female|PD|1</x:v>
      </x:c>
      <x:c r="B219" s="21" t="str">
        <x:v>7-8</x:v>
      </x:c>
      <x:c r="C219" s="21" t="str">
        <x:v>Female</x:v>
      </x:c>
      <x:c r="D219" s="21" t="str">
        <x:v>PD</x:v>
      </x:c>
      <x:c r="E219" s="21" t="n">
        <x:v>1</x:v>
      </x:c>
      <x:c r="F219" s="21" t="n">
        <x:v>40</x:v>
      </x:c>
    </x:row>
    <x:row r="220">
      <x:c r="A220" s="20" t="str">
        <x:v>7-8|Female|PD|2</x:v>
      </x:c>
      <x:c r="B220" s="22" t="str">
        <x:v>7-8</x:v>
      </x:c>
      <x:c r="C220" s="22" t="str">
        <x:v>Female</x:v>
      </x:c>
      <x:c r="D220" s="22" t="str">
        <x:v>PD</x:v>
      </x:c>
      <x:c r="E220" s="22" t="n">
        <x:v>2</x:v>
      </x:c>
      <x:c r="F220" s="22" t="n">
        <x:v>42</x:v>
      </x:c>
    </x:row>
    <x:row r="221">
      <x:c r="A221" s="17" t="str">
        <x:v>7-8|Female|PD|3</x:v>
      </x:c>
      <x:c r="B221" s="21" t="str">
        <x:v>7-8</x:v>
      </x:c>
      <x:c r="C221" s="21" t="str">
        <x:v>Female</x:v>
      </x:c>
      <x:c r="D221" s="21" t="str">
        <x:v>PD</x:v>
      </x:c>
      <x:c r="E221" s="21" t="n">
        <x:v>3</x:v>
      </x:c>
      <x:c r="F221" s="21" t="n">
        <x:v>45</x:v>
      </x:c>
    </x:row>
    <x:row r="222">
      <x:c r="A222" s="20" t="str">
        <x:v>7-8|Female|PD|4</x:v>
      </x:c>
      <x:c r="B222" s="22" t="str">
        <x:v>7-8</x:v>
      </x:c>
      <x:c r="C222" s="22" t="str">
        <x:v>Female</x:v>
      </x:c>
      <x:c r="D222" s="22" t="str">
        <x:v>PD</x:v>
      </x:c>
      <x:c r="E222" s="22" t="n">
        <x:v>4</x:v>
      </x:c>
      <x:c r="F222" s="22" t="n">
        <x:v>47</x:v>
      </x:c>
    </x:row>
    <x:row r="223">
      <x:c r="A223" s="17" t="str">
        <x:v>7-8|Female|PD|5</x:v>
      </x:c>
      <x:c r="B223" s="21" t="str">
        <x:v>7-8</x:v>
      </x:c>
      <x:c r="C223" s="21" t="str">
        <x:v>Female</x:v>
      </x:c>
      <x:c r="D223" s="21" t="str">
        <x:v>PD</x:v>
      </x:c>
      <x:c r="E223" s="21" t="n">
        <x:v>5</x:v>
      </x:c>
      <x:c r="F223" s="21" t="n">
        <x:v>50</x:v>
      </x:c>
    </x:row>
    <x:row r="224">
      <x:c r="A224" s="20" t="str">
        <x:v>7-8|Female|PD|6</x:v>
      </x:c>
      <x:c r="B224" s="22" t="str">
        <x:v>7-8</x:v>
      </x:c>
      <x:c r="C224" s="22" t="str">
        <x:v>Female</x:v>
      </x:c>
      <x:c r="D224" s="22" t="str">
        <x:v>PD</x:v>
      </x:c>
      <x:c r="E224" s="22" t="n">
        <x:v>6</x:v>
      </x:c>
      <x:c r="F224" s="22" t="n">
        <x:v>52</x:v>
      </x:c>
    </x:row>
    <x:row r="225">
      <x:c r="A225" s="17" t="str">
        <x:v>7-8|Female|PD|7</x:v>
      </x:c>
      <x:c r="B225" s="21" t="str">
        <x:v>7-8</x:v>
      </x:c>
      <x:c r="C225" s="21" t="str">
        <x:v>Female</x:v>
      </x:c>
      <x:c r="D225" s="21" t="str">
        <x:v>PD</x:v>
      </x:c>
      <x:c r="E225" s="21" t="n">
        <x:v>7</x:v>
      </x:c>
      <x:c r="F225" s="21" t="n">
        <x:v>55</x:v>
      </x:c>
    </x:row>
    <x:row r="226">
      <x:c r="A226" s="20" t="str">
        <x:v>7-8|Female|PD|8</x:v>
      </x:c>
      <x:c r="B226" s="22" t="str">
        <x:v>7-8</x:v>
      </x:c>
      <x:c r="C226" s="22" t="str">
        <x:v>Female</x:v>
      </x:c>
      <x:c r="D226" s="22" t="str">
        <x:v>PD</x:v>
      </x:c>
      <x:c r="E226" s="22" t="n">
        <x:v>8</x:v>
      </x:c>
      <x:c r="F226" s="22" t="n">
        <x:v>58</x:v>
      </x:c>
    </x:row>
    <x:row r="227">
      <x:c r="A227" s="17" t="str">
        <x:v>7-8|Female|PD|9</x:v>
      </x:c>
      <x:c r="B227" s="21" t="str">
        <x:v>7-8</x:v>
      </x:c>
      <x:c r="C227" s="21" t="str">
        <x:v>Female</x:v>
      </x:c>
      <x:c r="D227" s="21" t="str">
        <x:v>PD</x:v>
      </x:c>
      <x:c r="E227" s="21" t="n">
        <x:v>9</x:v>
      </x:c>
      <x:c r="F227" s="21" t="n">
        <x:v>60</x:v>
      </x:c>
    </x:row>
    <x:row r="228">
      <x:c r="A228" s="20" t="str">
        <x:v>7-8|Female|PD|10</x:v>
      </x:c>
      <x:c r="B228" s="22" t="str">
        <x:v>7-8</x:v>
      </x:c>
      <x:c r="C228" s="22" t="str">
        <x:v>Female</x:v>
      </x:c>
      <x:c r="D228" s="22" t="str">
        <x:v>PD</x:v>
      </x:c>
      <x:c r="E228" s="22" t="n">
        <x:v>10</x:v>
      </x:c>
      <x:c r="F228" s="22" t="n">
        <x:v>63</x:v>
      </x:c>
    </x:row>
    <x:row r="229">
      <x:c r="A229" s="17" t="str">
        <x:v>7-8|Female|PD|11</x:v>
      </x:c>
      <x:c r="B229" s="21" t="str">
        <x:v>7-8</x:v>
      </x:c>
      <x:c r="C229" s="21" t="str">
        <x:v>Female</x:v>
      </x:c>
      <x:c r="D229" s="21" t="str">
        <x:v>PD</x:v>
      </x:c>
      <x:c r="E229" s="21" t="n">
        <x:v>11</x:v>
      </x:c>
      <x:c r="F229" s="21" t="n">
        <x:v>65</x:v>
      </x:c>
    </x:row>
    <x:row r="230">
      <x:c r="A230" s="20" t="str">
        <x:v>7-8|Female|PD|12</x:v>
      </x:c>
      <x:c r="B230" s="22" t="str">
        <x:v>7-8</x:v>
      </x:c>
      <x:c r="C230" s="22" t="str">
        <x:v>Female</x:v>
      </x:c>
      <x:c r="D230" s="22" t="str">
        <x:v>PD</x:v>
      </x:c>
      <x:c r="E230" s="22" t="n">
        <x:v>12</x:v>
      </x:c>
      <x:c r="F230" s="22" t="n">
        <x:v>68</x:v>
      </x:c>
    </x:row>
    <x:row r="231">
      <x:c r="A231" s="17" t="str">
        <x:v>7-8|Female|PD|13</x:v>
      </x:c>
      <x:c r="B231" s="21" t="str">
        <x:v>7-8</x:v>
      </x:c>
      <x:c r="C231" s="21" t="str">
        <x:v>Female</x:v>
      </x:c>
      <x:c r="D231" s="21" t="str">
        <x:v>PD</x:v>
      </x:c>
      <x:c r="E231" s="21" t="n">
        <x:v>13</x:v>
      </x:c>
      <x:c r="F231" s="21" t="n">
        <x:v>70</x:v>
      </x:c>
    </x:row>
    <x:row r="232">
      <x:c r="A232" s="20" t="str">
        <x:v>7-8|Female|PD|14</x:v>
      </x:c>
      <x:c r="B232" s="22" t="str">
        <x:v>7-8</x:v>
      </x:c>
      <x:c r="C232" s="22" t="str">
        <x:v>Female</x:v>
      </x:c>
      <x:c r="D232" s="22" t="str">
        <x:v>PD</x:v>
      </x:c>
      <x:c r="E232" s="22" t="n">
        <x:v>14</x:v>
      </x:c>
      <x:c r="F232" s="22" t="n">
        <x:v>73</x:v>
      </x:c>
    </x:row>
    <x:row r="233">
      <x:c r="A233" s="17" t="str">
        <x:v>7-8|Female|PD|15</x:v>
      </x:c>
      <x:c r="B233" s="21" t="str">
        <x:v>7-8</x:v>
      </x:c>
      <x:c r="C233" s="21" t="str">
        <x:v>Female</x:v>
      </x:c>
      <x:c r="D233" s="21" t="str">
        <x:v>PD</x:v>
      </x:c>
      <x:c r="E233" s="21" t="n">
        <x:v>15</x:v>
      </x:c>
      <x:c r="F233" s="21" t="n">
        <x:v>75</x:v>
      </x:c>
    </x:row>
    <x:row r="234">
      <x:c r="A234" s="20" t="str">
        <x:v>7-8|Female|PD|16</x:v>
      </x:c>
      <x:c r="B234" s="22" t="str">
        <x:v>7-8</x:v>
      </x:c>
      <x:c r="C234" s="22" t="str">
        <x:v>Female</x:v>
      </x:c>
      <x:c r="D234" s="22" t="str">
        <x:v>PD</x:v>
      </x:c>
      <x:c r="E234" s="22" t="n">
        <x:v>16</x:v>
      </x:c>
      <x:c r="F234" s="22" t="n">
        <x:v>78</x:v>
      </x:c>
    </x:row>
    <x:row r="235">
      <x:c r="A235" s="17" t="str">
        <x:v>7-8|Female|PD|17</x:v>
      </x:c>
      <x:c r="B235" s="21" t="str">
        <x:v>7-8</x:v>
      </x:c>
      <x:c r="C235" s="21" t="str">
        <x:v>Female</x:v>
      </x:c>
      <x:c r="D235" s="21" t="str">
        <x:v>PD</x:v>
      </x:c>
      <x:c r="E235" s="21" t="n">
        <x:v>17</x:v>
      </x:c>
      <x:c r="F235" s="21" t="n">
        <x:v>81</x:v>
      </x:c>
    </x:row>
    <x:row r="236">
      <x:c r="A236" s="20" t="str">
        <x:v>7-8|Female|PD|18</x:v>
      </x:c>
      <x:c r="B236" s="22" t="str">
        <x:v>7-8</x:v>
      </x:c>
      <x:c r="C236" s="22" t="str">
        <x:v>Female</x:v>
      </x:c>
      <x:c r="D236" s="22" t="str">
        <x:v>PD</x:v>
      </x:c>
      <x:c r="E236" s="22" t="n">
        <x:v>18</x:v>
      </x:c>
      <x:c r="F236" s="22" t="n">
        <x:v>83</x:v>
      </x:c>
    </x:row>
    <x:row r="237">
      <x:c r="A237" s="17" t="str">
        <x:v>7-8|Female|PD|19</x:v>
      </x:c>
      <x:c r="B237" s="21" t="str">
        <x:v>7-8</x:v>
      </x:c>
      <x:c r="C237" s="21" t="str">
        <x:v>Female</x:v>
      </x:c>
      <x:c r="D237" s="21" t="str">
        <x:v>PD</x:v>
      </x:c>
      <x:c r="E237" s="21" t="n">
        <x:v>19</x:v>
      </x:c>
      <x:c r="F237" s="21" t="n">
        <x:v>86</x:v>
      </x:c>
    </x:row>
    <x:row r="238">
      <x:c r="A238" s="20" t="str">
        <x:v>7-8|Female|PD|20</x:v>
      </x:c>
      <x:c r="B238" s="22" t="str">
        <x:v>7-8</x:v>
      </x:c>
      <x:c r="C238" s="22" t="str">
        <x:v>Female</x:v>
      </x:c>
      <x:c r="D238" s="22" t="str">
        <x:v>PD</x:v>
      </x:c>
      <x:c r="E238" s="22" t="n">
        <x:v>20</x:v>
      </x:c>
      <x:c r="F238" s="22" t="n">
        <x:v>88</x:v>
      </x:c>
    </x:row>
    <x:row r="239">
      <x:c r="A239" s="17" t="str">
        <x:v>7-8|Female|PD|21</x:v>
      </x:c>
      <x:c r="B239" s="21" t="str">
        <x:v>7-8</x:v>
      </x:c>
      <x:c r="C239" s="21" t="str">
        <x:v>Female</x:v>
      </x:c>
      <x:c r="D239" s="21" t="str">
        <x:v>PD</x:v>
      </x:c>
      <x:c r="E239" s="21" t="n">
        <x:v>21</x:v>
      </x:c>
      <x:c r="F239" s="21" t="n">
        <x:v>91</x:v>
      </x:c>
    </x:row>
    <x:row r="240">
      <x:c r="A240" s="20" t="str">
        <x:v>7-8|Female|PD|22</x:v>
      </x:c>
      <x:c r="B240" s="22" t="str">
        <x:v>7-8</x:v>
      </x:c>
      <x:c r="C240" s="22" t="str">
        <x:v>Female</x:v>
      </x:c>
      <x:c r="D240" s="22" t="str">
        <x:v>PD</x:v>
      </x:c>
      <x:c r="E240" s="22" t="n">
        <x:v>22</x:v>
      </x:c>
      <x:c r="F240" s="22" t="n">
        <x:v>93</x:v>
      </x:c>
    </x:row>
    <x:row r="241">
      <x:c r="A241" s="17" t="str">
        <x:v>7-8|Female|PD|23</x:v>
      </x:c>
      <x:c r="B241" s="21" t="str">
        <x:v>7-8</x:v>
      </x:c>
      <x:c r="C241" s="21" t="str">
        <x:v>Female</x:v>
      </x:c>
      <x:c r="D241" s="21" t="str">
        <x:v>PD</x:v>
      </x:c>
      <x:c r="E241" s="21" t="n">
        <x:v>23</x:v>
      </x:c>
      <x:c r="F241" s="21" t="n">
        <x:v>96</x:v>
      </x:c>
    </x:row>
    <x:row r="242">
      <x:c r="A242" s="20" t="str">
        <x:v>7-8|Female|PD|24</x:v>
      </x:c>
      <x:c r="B242" s="22" t="str">
        <x:v>7-8</x:v>
      </x:c>
      <x:c r="C242" s="22" t="str">
        <x:v>Female</x:v>
      </x:c>
      <x:c r="D242" s="22" t="str">
        <x:v>PD</x:v>
      </x:c>
      <x:c r="E242" s="22" t="n">
        <x:v>24</x:v>
      </x:c>
      <x:c r="F242" s="22" t="n">
        <x:v>98</x:v>
      </x:c>
    </x:row>
    <x:row r="243">
      <x:c r="A243" s="17" t="str">
        <x:v>7-8|Female|PD|25</x:v>
      </x:c>
      <x:c r="B243" s="21" t="str">
        <x:v>7-8</x:v>
      </x:c>
      <x:c r="C243" s="21" t="str">
        <x:v>Female</x:v>
      </x:c>
      <x:c r="D243" s="21" t="str">
        <x:v>PD</x:v>
      </x:c>
      <x:c r="E243" s="21" t="n">
        <x:v>25</x:v>
      </x:c>
      <x:c r="F243" s="21" t="n">
        <x:v>101</x:v>
      </x:c>
    </x:row>
    <x:row r="244">
      <x:c r="A244" s="20" t="str">
        <x:v>7-8|Female|PD|26</x:v>
      </x:c>
      <x:c r="B244" s="22" t="str">
        <x:v>7-8</x:v>
      </x:c>
      <x:c r="C244" s="22" t="str">
        <x:v>Female</x:v>
      </x:c>
      <x:c r="D244" s="22" t="str">
        <x:v>PD</x:v>
      </x:c>
      <x:c r="E244" s="22" t="n">
        <x:v>26</x:v>
      </x:c>
      <x:c r="F244" s="22" t="n">
        <x:v>103</x:v>
      </x:c>
    </x:row>
    <x:row r="245">
      <x:c r="A245" s="17" t="str">
        <x:v>7-8|Female|PD|27</x:v>
      </x:c>
      <x:c r="B245" s="21" t="str">
        <x:v>7-8</x:v>
      </x:c>
      <x:c r="C245" s="21" t="str">
        <x:v>Female</x:v>
      </x:c>
      <x:c r="D245" s="21" t="str">
        <x:v>PD</x:v>
      </x:c>
      <x:c r="E245" s="21" t="n">
        <x:v>27</x:v>
      </x:c>
      <x:c r="F245" s="21" t="n">
        <x:v>106</x:v>
      </x:c>
    </x:row>
    <x:row r="246">
      <x:c r="A246" s="20" t="str">
        <x:v>7-8|Female|SAD|0</x:v>
      </x:c>
      <x:c r="B246" s="22" t="str">
        <x:v>7-8</x:v>
      </x:c>
      <x:c r="C246" s="22" t="str">
        <x:v>Female</x:v>
      </x:c>
      <x:c r="D246" s="22" t="str">
        <x:v>SAD</x:v>
      </x:c>
      <x:c r="E246" s="22" t="n">
        <x:v>0</x:v>
      </x:c>
      <x:c r="F246" s="22" t="n">
        <x:v>39</x:v>
      </x:c>
    </x:row>
    <x:row r="247">
      <x:c r="A247" s="17" t="str">
        <x:v>7-8|Female|SAD|1</x:v>
      </x:c>
      <x:c r="B247" s="21" t="str">
        <x:v>7-8</x:v>
      </x:c>
      <x:c r="C247" s="21" t="str">
        <x:v>Female</x:v>
      </x:c>
      <x:c r="D247" s="21" t="str">
        <x:v>SAD</x:v>
      </x:c>
      <x:c r="E247" s="21" t="n">
        <x:v>1</x:v>
      </x:c>
      <x:c r="F247" s="21" t="n">
        <x:v>43</x:v>
      </x:c>
    </x:row>
    <x:row r="248">
      <x:c r="A248" s="20" t="str">
        <x:v>7-8|Female|SAD|2</x:v>
      </x:c>
      <x:c r="B248" s="22" t="str">
        <x:v>7-8</x:v>
      </x:c>
      <x:c r="C248" s="22" t="str">
        <x:v>Female</x:v>
      </x:c>
      <x:c r="D248" s="22" t="str">
        <x:v>SAD</x:v>
      </x:c>
      <x:c r="E248" s="22" t="n">
        <x:v>2</x:v>
      </x:c>
      <x:c r="F248" s="22" t="n">
        <x:v>46</x:v>
      </x:c>
    </x:row>
    <x:row r="249">
      <x:c r="A249" s="17" t="str">
        <x:v>7-8|Female|SAD|3</x:v>
      </x:c>
      <x:c r="B249" s="21" t="str">
        <x:v>7-8</x:v>
      </x:c>
      <x:c r="C249" s="21" t="str">
        <x:v>Female</x:v>
      </x:c>
      <x:c r="D249" s="21" t="str">
        <x:v>SAD</x:v>
      </x:c>
      <x:c r="E249" s="21" t="n">
        <x:v>3</x:v>
      </x:c>
      <x:c r="F249" s="21" t="n">
        <x:v>50</x:v>
      </x:c>
    </x:row>
    <x:row r="250">
      <x:c r="A250" s="20" t="str">
        <x:v>7-8|Female|SAD|4</x:v>
      </x:c>
      <x:c r="B250" s="22" t="str">
        <x:v>7-8</x:v>
      </x:c>
      <x:c r="C250" s="22" t="str">
        <x:v>Female</x:v>
      </x:c>
      <x:c r="D250" s="22" t="str">
        <x:v>SAD</x:v>
      </x:c>
      <x:c r="E250" s="22" t="n">
        <x:v>4</x:v>
      </x:c>
      <x:c r="F250" s="22" t="n">
        <x:v>54</x:v>
      </x:c>
    </x:row>
    <x:row r="251">
      <x:c r="A251" s="17" t="str">
        <x:v>7-8|Female|SAD|5</x:v>
      </x:c>
      <x:c r="B251" s="21" t="str">
        <x:v>7-8</x:v>
      </x:c>
      <x:c r="C251" s="21" t="str">
        <x:v>Female</x:v>
      </x:c>
      <x:c r="D251" s="21" t="str">
        <x:v>SAD</x:v>
      </x:c>
      <x:c r="E251" s="21" t="n">
        <x:v>5</x:v>
      </x:c>
      <x:c r="F251" s="21" t="n">
        <x:v>57</x:v>
      </x:c>
    </x:row>
    <x:row r="252">
      <x:c r="A252" s="20" t="str">
        <x:v>7-8|Female|SAD|6</x:v>
      </x:c>
      <x:c r="B252" s="22" t="str">
        <x:v>7-8</x:v>
      </x:c>
      <x:c r="C252" s="22" t="str">
        <x:v>Female</x:v>
      </x:c>
      <x:c r="D252" s="22" t="str">
        <x:v>SAD</x:v>
      </x:c>
      <x:c r="E252" s="22" t="n">
        <x:v>6</x:v>
      </x:c>
      <x:c r="F252" s="22" t="n">
        <x:v>61</x:v>
      </x:c>
    </x:row>
    <x:row r="253">
      <x:c r="A253" s="17" t="str">
        <x:v>7-8|Female|SAD|7</x:v>
      </x:c>
      <x:c r="B253" s="21" t="str">
        <x:v>7-8</x:v>
      </x:c>
      <x:c r="C253" s="21" t="str">
        <x:v>Female</x:v>
      </x:c>
      <x:c r="D253" s="21" t="str">
        <x:v>SAD</x:v>
      </x:c>
      <x:c r="E253" s="21" t="n">
        <x:v>7</x:v>
      </x:c>
      <x:c r="F253" s="21" t="n">
        <x:v>65</x:v>
      </x:c>
    </x:row>
    <x:row r="254">
      <x:c r="A254" s="20" t="str">
        <x:v>7-8|Female|SAD|8</x:v>
      </x:c>
      <x:c r="B254" s="22" t="str">
        <x:v>7-8</x:v>
      </x:c>
      <x:c r="C254" s="22" t="str">
        <x:v>Female</x:v>
      </x:c>
      <x:c r="D254" s="22" t="str">
        <x:v>SAD</x:v>
      </x:c>
      <x:c r="E254" s="22" t="n">
        <x:v>8</x:v>
      </x:c>
      <x:c r="F254" s="22" t="n">
        <x:v>68</x:v>
      </x:c>
    </x:row>
    <x:row r="255">
      <x:c r="A255" s="17" t="str">
        <x:v>7-8|Female|SAD|9</x:v>
      </x:c>
      <x:c r="B255" s="21" t="str">
        <x:v>7-8</x:v>
      </x:c>
      <x:c r="C255" s="21" t="str">
        <x:v>Female</x:v>
      </x:c>
      <x:c r="D255" s="21" t="str">
        <x:v>SAD</x:v>
      </x:c>
      <x:c r="E255" s="21" t="n">
        <x:v>9</x:v>
      </x:c>
      <x:c r="F255" s="21" t="n">
        <x:v>72</x:v>
      </x:c>
    </x:row>
    <x:row r="256">
      <x:c r="A256" s="20" t="str">
        <x:v>7-8|Female|SAD|10</x:v>
      </x:c>
      <x:c r="B256" s="22" t="str">
        <x:v>7-8</x:v>
      </x:c>
      <x:c r="C256" s="22" t="str">
        <x:v>Female</x:v>
      </x:c>
      <x:c r="D256" s="22" t="str">
        <x:v>SAD</x:v>
      </x:c>
      <x:c r="E256" s="22" t="n">
        <x:v>10</x:v>
      </x:c>
      <x:c r="F256" s="22" t="n">
        <x:v>76</x:v>
      </x:c>
    </x:row>
    <x:row r="257">
      <x:c r="A257" s="17" t="str">
        <x:v>7-8|Female|SAD|11</x:v>
      </x:c>
      <x:c r="B257" s="21" t="str">
        <x:v>7-8</x:v>
      </x:c>
      <x:c r="C257" s="21" t="str">
        <x:v>Female</x:v>
      </x:c>
      <x:c r="D257" s="21" t="str">
        <x:v>SAD</x:v>
      </x:c>
      <x:c r="E257" s="21" t="n">
        <x:v>11</x:v>
      </x:c>
      <x:c r="F257" s="21" t="n">
        <x:v>79</x:v>
      </x:c>
    </x:row>
    <x:row r="258">
      <x:c r="A258" s="20" t="str">
        <x:v>7-8|Female|SAD|12</x:v>
      </x:c>
      <x:c r="B258" s="22" t="str">
        <x:v>7-8</x:v>
      </x:c>
      <x:c r="C258" s="22" t="str">
        <x:v>Female</x:v>
      </x:c>
      <x:c r="D258" s="22" t="str">
        <x:v>SAD</x:v>
      </x:c>
      <x:c r="E258" s="22" t="n">
        <x:v>12</x:v>
      </x:c>
      <x:c r="F258" s="22" t="n">
        <x:v>83</x:v>
      </x:c>
    </x:row>
    <x:row r="259">
      <x:c r="A259" s="17" t="str">
        <x:v>7-8|Female|SAD|13</x:v>
      </x:c>
      <x:c r="B259" s="21" t="str">
        <x:v>7-8</x:v>
      </x:c>
      <x:c r="C259" s="21" t="str">
        <x:v>Female</x:v>
      </x:c>
      <x:c r="D259" s="21" t="str">
        <x:v>SAD</x:v>
      </x:c>
      <x:c r="E259" s="21" t="n">
        <x:v>13</x:v>
      </x:c>
      <x:c r="F259" s="21" t="n">
        <x:v>87</x:v>
      </x:c>
    </x:row>
    <x:row r="260">
      <x:c r="A260" s="20" t="str">
        <x:v>7-8|Female|SAD|14</x:v>
      </x:c>
      <x:c r="B260" s="22" t="str">
        <x:v>7-8</x:v>
      </x:c>
      <x:c r="C260" s="22" t="str">
        <x:v>Female</x:v>
      </x:c>
      <x:c r="D260" s="22" t="str">
        <x:v>SAD</x:v>
      </x:c>
      <x:c r="E260" s="22" t="n">
        <x:v>14</x:v>
      </x:c>
      <x:c r="F260" s="22" t="n">
        <x:v>90</x:v>
      </x:c>
    </x:row>
    <x:row r="261">
      <x:c r="A261" s="17" t="str">
        <x:v>7-8|Female|SAD|15</x:v>
      </x:c>
      <x:c r="B261" s="21" t="str">
        <x:v>7-8</x:v>
      </x:c>
      <x:c r="C261" s="21" t="str">
        <x:v>Female</x:v>
      </x:c>
      <x:c r="D261" s="21" t="str">
        <x:v>SAD</x:v>
      </x:c>
      <x:c r="E261" s="21" t="n">
        <x:v>15</x:v>
      </x:c>
      <x:c r="F261" s="21" t="n">
        <x:v>94</x:v>
      </x:c>
    </x:row>
    <x:row r="262">
      <x:c r="A262" s="20" t="str">
        <x:v>7-8|Female|SAD|16</x:v>
      </x:c>
      <x:c r="B262" s="22" t="str">
        <x:v>7-8</x:v>
      </x:c>
      <x:c r="C262" s="22" t="str">
        <x:v>Female</x:v>
      </x:c>
      <x:c r="D262" s="22" t="str">
        <x:v>SAD</x:v>
      </x:c>
      <x:c r="E262" s="22" t="n">
        <x:v>16</x:v>
      </x:c>
      <x:c r="F262" s="22" t="n">
        <x:v>98</x:v>
      </x:c>
    </x:row>
    <x:row r="263">
      <x:c r="A263" s="17" t="str">
        <x:v>7-8|Female|SAD|17</x:v>
      </x:c>
      <x:c r="B263" s="21" t="str">
        <x:v>7-8</x:v>
      </x:c>
      <x:c r="C263" s="21" t="str">
        <x:v>Female</x:v>
      </x:c>
      <x:c r="D263" s="21" t="str">
        <x:v>SAD</x:v>
      </x:c>
      <x:c r="E263" s="21" t="n">
        <x:v>17</x:v>
      </x:c>
      <x:c r="F263" s="21" t="n">
        <x:v>101</x:v>
      </x:c>
    </x:row>
    <x:row r="264">
      <x:c r="A264" s="20" t="str">
        <x:v>7-8|Female|SAD|18</x:v>
      </x:c>
      <x:c r="B264" s="22" t="str">
        <x:v>7-8</x:v>
      </x:c>
      <x:c r="C264" s="22" t="str">
        <x:v>Female</x:v>
      </x:c>
      <x:c r="D264" s="22" t="str">
        <x:v>SAD</x:v>
      </x:c>
      <x:c r="E264" s="22" t="n">
        <x:v>18</x:v>
      </x:c>
      <x:c r="F264" s="22" t="n">
        <x:v>105</x:v>
      </x:c>
    </x:row>
    <x:row r="265">
      <x:c r="A265" s="17" t="str">
        <x:v>7-8|Female|SAD|19</x:v>
      </x:c>
      <x:c r="B265" s="21" t="str">
        <x:v>7-8</x:v>
      </x:c>
      <x:c r="C265" s="21" t="str">
        <x:v>Female</x:v>
      </x:c>
      <x:c r="D265" s="21" t="str">
        <x:v>SAD</x:v>
      </x:c>
      <x:c r="E265" s="21" t="n">
        <x:v>19</x:v>
      </x:c>
      <x:c r="F265" s="21" t="n">
        <x:v>109</x:v>
      </x:c>
    </x:row>
    <x:row r="266">
      <x:c r="A266" s="20" t="str">
        <x:v>7-8|Female|SAD|20</x:v>
      </x:c>
      <x:c r="B266" s="22" t="str">
        <x:v>7-8</x:v>
      </x:c>
      <x:c r="C266" s="22" t="str">
        <x:v>Female</x:v>
      </x:c>
      <x:c r="D266" s="22" t="str">
        <x:v>SAD</x:v>
      </x:c>
      <x:c r="E266" s="22" t="n">
        <x:v>20</x:v>
      </x:c>
      <x:c r="F266" s="22" t="n">
        <x:v>113</x:v>
      </x:c>
    </x:row>
    <x:row r="267">
      <x:c r="A267" s="17" t="str">
        <x:v>7-8|Female|SAD|21</x:v>
      </x:c>
      <x:c r="B267" s="21" t="str">
        <x:v>7-8</x:v>
      </x:c>
      <x:c r="C267" s="21" t="str">
        <x:v>Female</x:v>
      </x:c>
      <x:c r="D267" s="21" t="str">
        <x:v>SAD</x:v>
      </x:c>
      <x:c r="E267" s="21" t="n">
        <x:v>21</x:v>
      </x:c>
      <x:c r="F267" s="21" t="n">
        <x:v>116</x:v>
      </x:c>
    </x:row>
    <x:row r="268">
      <x:c r="A268" s="20" t="str">
        <x:v>7-8|Female|SP|0</x:v>
      </x:c>
      <x:c r="B268" s="22" t="str">
        <x:v>7-8</x:v>
      </x:c>
      <x:c r="C268" s="22" t="str">
        <x:v>Female</x:v>
      </x:c>
      <x:c r="D268" s="22" t="str">
        <x:v>SP</x:v>
      </x:c>
      <x:c r="E268" s="22" t="n">
        <x:v>0</x:v>
      </x:c>
      <x:c r="F268" s="22" t="n">
        <x:v>24</x:v>
      </x:c>
    </x:row>
    <x:row r="269">
      <x:c r="A269" s="17" t="str">
        <x:v>7-8|Female|SP|1</x:v>
      </x:c>
      <x:c r="B269" s="21" t="str">
        <x:v>7-8</x:v>
      </x:c>
      <x:c r="C269" s="21" t="str">
        <x:v>Female</x:v>
      </x:c>
      <x:c r="D269" s="21" t="str">
        <x:v>SP</x:v>
      </x:c>
      <x:c r="E269" s="21" t="n">
        <x:v>1</x:v>
      </x:c>
      <x:c r="F269" s="21" t="n">
        <x:v>26</x:v>
      </x:c>
    </x:row>
    <x:row r="270">
      <x:c r="A270" s="20" t="str">
        <x:v>7-8|Female|SP|2</x:v>
      </x:c>
      <x:c r="B270" s="22" t="str">
        <x:v>7-8</x:v>
      </x:c>
      <x:c r="C270" s="22" t="str">
        <x:v>Female</x:v>
      </x:c>
      <x:c r="D270" s="22" t="str">
        <x:v>SP</x:v>
      </x:c>
      <x:c r="E270" s="22" t="n">
        <x:v>2</x:v>
      </x:c>
      <x:c r="F270" s="22" t="n">
        <x:v>28</x:v>
      </x:c>
    </x:row>
    <x:row r="271">
      <x:c r="A271" s="17" t="str">
        <x:v>7-8|Female|SP|3</x:v>
      </x:c>
      <x:c r="B271" s="21" t="str">
        <x:v>7-8</x:v>
      </x:c>
      <x:c r="C271" s="21" t="str">
        <x:v>Female</x:v>
      </x:c>
      <x:c r="D271" s="21" t="str">
        <x:v>SP</x:v>
      </x:c>
      <x:c r="E271" s="21" t="n">
        <x:v>3</x:v>
      </x:c>
      <x:c r="F271" s="21" t="n">
        <x:v>30</x:v>
      </x:c>
    </x:row>
    <x:row r="272">
      <x:c r="A272" s="20" t="str">
        <x:v>7-8|Female|SP|4</x:v>
      </x:c>
      <x:c r="B272" s="22" t="str">
        <x:v>7-8</x:v>
      </x:c>
      <x:c r="C272" s="22" t="str">
        <x:v>Female</x:v>
      </x:c>
      <x:c r="D272" s="22" t="str">
        <x:v>SP</x:v>
      </x:c>
      <x:c r="E272" s="22" t="n">
        <x:v>4</x:v>
      </x:c>
      <x:c r="F272" s="22" t="n">
        <x:v>32</x:v>
      </x:c>
    </x:row>
    <x:row r="273">
      <x:c r="A273" s="17" t="str">
        <x:v>7-8|Female|SP|5</x:v>
      </x:c>
      <x:c r="B273" s="21" t="str">
        <x:v>7-8</x:v>
      </x:c>
      <x:c r="C273" s="21" t="str">
        <x:v>Female</x:v>
      </x:c>
      <x:c r="D273" s="21" t="str">
        <x:v>SP</x:v>
      </x:c>
      <x:c r="E273" s="21" t="n">
        <x:v>5</x:v>
      </x:c>
      <x:c r="F273" s="21" t="n">
        <x:v>34</x:v>
      </x:c>
    </x:row>
    <x:row r="274">
      <x:c r="A274" s="20" t="str">
        <x:v>7-8|Female|SP|6</x:v>
      </x:c>
      <x:c r="B274" s="22" t="str">
        <x:v>7-8</x:v>
      </x:c>
      <x:c r="C274" s="22" t="str">
        <x:v>Female</x:v>
      </x:c>
      <x:c r="D274" s="22" t="str">
        <x:v>SP</x:v>
      </x:c>
      <x:c r="E274" s="22" t="n">
        <x:v>6</x:v>
      </x:c>
      <x:c r="F274" s="22" t="n">
        <x:v>36</x:v>
      </x:c>
    </x:row>
    <x:row r="275">
      <x:c r="A275" s="17" t="str">
        <x:v>7-8|Female|SP|7</x:v>
      </x:c>
      <x:c r="B275" s="21" t="str">
        <x:v>7-8</x:v>
      </x:c>
      <x:c r="C275" s="21" t="str">
        <x:v>Female</x:v>
      </x:c>
      <x:c r="D275" s="21" t="str">
        <x:v>SP</x:v>
      </x:c>
      <x:c r="E275" s="21" t="n">
        <x:v>7</x:v>
      </x:c>
      <x:c r="F275" s="21" t="n">
        <x:v>38</x:v>
      </x:c>
    </x:row>
    <x:row r="276">
      <x:c r="A276" s="20" t="str">
        <x:v>7-8|Female|SP|8</x:v>
      </x:c>
      <x:c r="B276" s="22" t="str">
        <x:v>7-8</x:v>
      </x:c>
      <x:c r="C276" s="22" t="str">
        <x:v>Female</x:v>
      </x:c>
      <x:c r="D276" s="22" t="str">
        <x:v>SP</x:v>
      </x:c>
      <x:c r="E276" s="22" t="n">
        <x:v>8</x:v>
      </x:c>
      <x:c r="F276" s="22" t="n">
        <x:v>40</x:v>
      </x:c>
    </x:row>
    <x:row r="277">
      <x:c r="A277" s="17" t="str">
        <x:v>7-8|Female|SP|9</x:v>
      </x:c>
      <x:c r="B277" s="21" t="str">
        <x:v>7-8</x:v>
      </x:c>
      <x:c r="C277" s="21" t="str">
        <x:v>Female</x:v>
      </x:c>
      <x:c r="D277" s="21" t="str">
        <x:v>SP</x:v>
      </x:c>
      <x:c r="E277" s="21" t="n">
        <x:v>9</x:v>
      </x:c>
      <x:c r="F277" s="21" t="n">
        <x:v>42</x:v>
      </x:c>
    </x:row>
    <x:row r="278">
      <x:c r="A278" s="20" t="str">
        <x:v>7-8|Female|SP|10</x:v>
      </x:c>
      <x:c r="B278" s="22" t="str">
        <x:v>7-8</x:v>
      </x:c>
      <x:c r="C278" s="22" t="str">
        <x:v>Female</x:v>
      </x:c>
      <x:c r="D278" s="22" t="str">
        <x:v>SP</x:v>
      </x:c>
      <x:c r="E278" s="22" t="n">
        <x:v>10</x:v>
      </x:c>
      <x:c r="F278" s="22" t="n">
        <x:v>44</x:v>
      </x:c>
    </x:row>
    <x:row r="279">
      <x:c r="A279" s="17" t="str">
        <x:v>7-8|Female|SP|11</x:v>
      </x:c>
      <x:c r="B279" s="21" t="str">
        <x:v>7-8</x:v>
      </x:c>
      <x:c r="C279" s="21" t="str">
        <x:v>Female</x:v>
      </x:c>
      <x:c r="D279" s="21" t="str">
        <x:v>SP</x:v>
      </x:c>
      <x:c r="E279" s="21" t="n">
        <x:v>11</x:v>
      </x:c>
      <x:c r="F279" s="21" t="n">
        <x:v>46</x:v>
      </x:c>
    </x:row>
    <x:row r="280">
      <x:c r="A280" s="20" t="str">
        <x:v>7-8|Female|SP|12</x:v>
      </x:c>
      <x:c r="B280" s="22" t="str">
        <x:v>7-8</x:v>
      </x:c>
      <x:c r="C280" s="22" t="str">
        <x:v>Female</x:v>
      </x:c>
      <x:c r="D280" s="22" t="str">
        <x:v>SP</x:v>
      </x:c>
      <x:c r="E280" s="22" t="n">
        <x:v>12</x:v>
      </x:c>
      <x:c r="F280" s="22" t="n">
        <x:v>48</x:v>
      </x:c>
    </x:row>
    <x:row r="281">
      <x:c r="A281" s="17" t="str">
        <x:v>7-8|Female|SP|13</x:v>
      </x:c>
      <x:c r="B281" s="21" t="str">
        <x:v>7-8</x:v>
      </x:c>
      <x:c r="C281" s="21" t="str">
        <x:v>Female</x:v>
      </x:c>
      <x:c r="D281" s="21" t="str">
        <x:v>SP</x:v>
      </x:c>
      <x:c r="E281" s="21" t="n">
        <x:v>13</x:v>
      </x:c>
      <x:c r="F281" s="21" t="n">
        <x:v>50</x:v>
      </x:c>
    </x:row>
    <x:row r="282">
      <x:c r="A282" s="20" t="str">
        <x:v>7-8|Female|SP|14</x:v>
      </x:c>
      <x:c r="B282" s="22" t="str">
        <x:v>7-8</x:v>
      </x:c>
      <x:c r="C282" s="22" t="str">
        <x:v>Female</x:v>
      </x:c>
      <x:c r="D282" s="22" t="str">
        <x:v>SP</x:v>
      </x:c>
      <x:c r="E282" s="22" t="n">
        <x:v>14</x:v>
      </x:c>
      <x:c r="F282" s="22" t="n">
        <x:v>52</x:v>
      </x:c>
    </x:row>
    <x:row r="283">
      <x:c r="A283" s="17" t="str">
        <x:v>7-8|Female|SP|15</x:v>
      </x:c>
      <x:c r="B283" s="21" t="str">
        <x:v>7-8</x:v>
      </x:c>
      <x:c r="C283" s="21" t="str">
        <x:v>Female</x:v>
      </x:c>
      <x:c r="D283" s="21" t="str">
        <x:v>SP</x:v>
      </x:c>
      <x:c r="E283" s="21" t="n">
        <x:v>15</x:v>
      </x:c>
      <x:c r="F283" s="21" t="n">
        <x:v>54</x:v>
      </x:c>
    </x:row>
    <x:row r="284">
      <x:c r="A284" s="20" t="str">
        <x:v>7-8|Female|SP|16</x:v>
      </x:c>
      <x:c r="B284" s="22" t="str">
        <x:v>7-8</x:v>
      </x:c>
      <x:c r="C284" s="22" t="str">
        <x:v>Female</x:v>
      </x:c>
      <x:c r="D284" s="22" t="str">
        <x:v>SP</x:v>
      </x:c>
      <x:c r="E284" s="22" t="n">
        <x:v>16</x:v>
      </x:c>
      <x:c r="F284" s="22" t="n">
        <x:v>56</x:v>
      </x:c>
    </x:row>
    <x:row r="285">
      <x:c r="A285" s="17" t="str">
        <x:v>7-8|Female|SP|17</x:v>
      </x:c>
      <x:c r="B285" s="21" t="str">
        <x:v>7-8</x:v>
      </x:c>
      <x:c r="C285" s="21" t="str">
        <x:v>Female</x:v>
      </x:c>
      <x:c r="D285" s="21" t="str">
        <x:v>SP</x:v>
      </x:c>
      <x:c r="E285" s="21" t="n">
        <x:v>17</x:v>
      </x:c>
      <x:c r="F285" s="21" t="n">
        <x:v>58</x:v>
      </x:c>
    </x:row>
    <x:row r="286">
      <x:c r="A286" s="20" t="str">
        <x:v>7-8|Female|SP|18</x:v>
      </x:c>
      <x:c r="B286" s="22" t="str">
        <x:v>7-8</x:v>
      </x:c>
      <x:c r="C286" s="22" t="str">
        <x:v>Female</x:v>
      </x:c>
      <x:c r="D286" s="22" t="str">
        <x:v>SP</x:v>
      </x:c>
      <x:c r="E286" s="22" t="n">
        <x:v>18</x:v>
      </x:c>
      <x:c r="F286" s="22" t="n">
        <x:v>60</x:v>
      </x:c>
    </x:row>
    <x:row r="287">
      <x:c r="A287" s="17" t="str">
        <x:v>7-8|Female|SP|19</x:v>
      </x:c>
      <x:c r="B287" s="21" t="str">
        <x:v>7-8</x:v>
      </x:c>
      <x:c r="C287" s="21" t="str">
        <x:v>Female</x:v>
      </x:c>
      <x:c r="D287" s="21" t="str">
        <x:v>SP</x:v>
      </x:c>
      <x:c r="E287" s="21" t="n">
        <x:v>19</x:v>
      </x:c>
      <x:c r="F287" s="21" t="n">
        <x:v>62</x:v>
      </x:c>
    </x:row>
    <x:row r="288">
      <x:c r="A288" s="20" t="str">
        <x:v>7-8|Female|SP|20</x:v>
      </x:c>
      <x:c r="B288" s="22" t="str">
        <x:v>7-8</x:v>
      </x:c>
      <x:c r="C288" s="22" t="str">
        <x:v>Female</x:v>
      </x:c>
      <x:c r="D288" s="22" t="str">
        <x:v>SP</x:v>
      </x:c>
      <x:c r="E288" s="22" t="n">
        <x:v>20</x:v>
      </x:c>
      <x:c r="F288" s="22" t="n">
        <x:v>64</x:v>
      </x:c>
    </x:row>
    <x:row r="289">
      <x:c r="A289" s="17" t="str">
        <x:v>7-8|Female|SP|21</x:v>
      </x:c>
      <x:c r="B289" s="21" t="str">
        <x:v>7-8</x:v>
      </x:c>
      <x:c r="C289" s="21" t="str">
        <x:v>Female</x:v>
      </x:c>
      <x:c r="D289" s="21" t="str">
        <x:v>SP</x:v>
      </x:c>
      <x:c r="E289" s="21" t="n">
        <x:v>21</x:v>
      </x:c>
      <x:c r="F289" s="21" t="n">
        <x:v>66</x:v>
      </x:c>
    </x:row>
    <x:row r="290">
      <x:c r="A290" s="20" t="str">
        <x:v>7-8|Female|SP|22</x:v>
      </x:c>
      <x:c r="B290" s="22" t="str">
        <x:v>7-8</x:v>
      </x:c>
      <x:c r="C290" s="22" t="str">
        <x:v>Female</x:v>
      </x:c>
      <x:c r="D290" s="22" t="str">
        <x:v>SP</x:v>
      </x:c>
      <x:c r="E290" s="22" t="n">
        <x:v>22</x:v>
      </x:c>
      <x:c r="F290" s="22" t="n">
        <x:v>68</x:v>
      </x:c>
    </x:row>
    <x:row r="291">
      <x:c r="A291" s="17" t="str">
        <x:v>7-8|Female|SP|23</x:v>
      </x:c>
      <x:c r="B291" s="21" t="str">
        <x:v>7-8</x:v>
      </x:c>
      <x:c r="C291" s="21" t="str">
        <x:v>Female</x:v>
      </x:c>
      <x:c r="D291" s="21" t="str">
        <x:v>SP</x:v>
      </x:c>
      <x:c r="E291" s="21" t="n">
        <x:v>23</x:v>
      </x:c>
      <x:c r="F291" s="21" t="n">
        <x:v>70</x:v>
      </x:c>
    </x:row>
    <x:row r="292">
      <x:c r="A292" s="20" t="str">
        <x:v>7-8|Female|SP|24</x:v>
      </x:c>
      <x:c r="B292" s="22" t="str">
        <x:v>7-8</x:v>
      </x:c>
      <x:c r="C292" s="22" t="str">
        <x:v>Female</x:v>
      </x:c>
      <x:c r="D292" s="22" t="str">
        <x:v>SP</x:v>
      </x:c>
      <x:c r="E292" s="22" t="n">
        <x:v>24</x:v>
      </x:c>
      <x:c r="F292" s="22" t="n">
        <x:v>72</x:v>
      </x:c>
    </x:row>
    <x:row r="293">
      <x:c r="A293" s="17" t="str">
        <x:v>7-8|Female|SP|25</x:v>
      </x:c>
      <x:c r="B293" s="21" t="str">
        <x:v>7-8</x:v>
      </x:c>
      <x:c r="C293" s="21" t="str">
        <x:v>Female</x:v>
      </x:c>
      <x:c r="D293" s="21" t="str">
        <x:v>SP</x:v>
      </x:c>
      <x:c r="E293" s="21" t="n">
        <x:v>25</x:v>
      </x:c>
      <x:c r="F293" s="21" t="n">
        <x:v>74</x:v>
      </x:c>
    </x:row>
    <x:row r="294">
      <x:c r="A294" s="20" t="str">
        <x:v>7-8|Female|SP|26</x:v>
      </x:c>
      <x:c r="B294" s="22" t="str">
        <x:v>7-8</x:v>
      </x:c>
      <x:c r="C294" s="22" t="str">
        <x:v>Female</x:v>
      </x:c>
      <x:c r="D294" s="22" t="str">
        <x:v>SP</x:v>
      </x:c>
      <x:c r="E294" s="22" t="n">
        <x:v>26</x:v>
      </x:c>
      <x:c r="F294" s="22" t="n">
        <x:v>76</x:v>
      </x:c>
    </x:row>
    <x:row r="295">
      <x:c r="A295" s="17" t="str">
        <x:v>7-8|Female|SP|27</x:v>
      </x:c>
      <x:c r="B295" s="21" t="str">
        <x:v>7-8</x:v>
      </x:c>
      <x:c r="C295" s="21" t="str">
        <x:v>Female</x:v>
      </x:c>
      <x:c r="D295" s="21" t="str">
        <x:v>SP</x:v>
      </x:c>
      <x:c r="E295" s="21" t="n">
        <x:v>27</x:v>
      </x:c>
      <x:c r="F295" s="21" t="n">
        <x:v>78</x:v>
      </x:c>
    </x:row>
    <x:row r="296">
      <x:c r="A296" s="20" t="str">
        <x:v>9-10|Male|MDD|0</x:v>
      </x:c>
      <x:c r="B296" s="22" t="str">
        <x:v>9-10</x:v>
      </x:c>
      <x:c r="C296" s="22" t="str">
        <x:v>Male</x:v>
      </x:c>
      <x:c r="D296" s="22" t="str">
        <x:v>MDD</x:v>
      </x:c>
      <x:c r="E296" s="22" t="n">
        <x:v>0</x:v>
      </x:c>
      <x:c r="F296" s="22" t="n">
        <x:v>32</x:v>
      </x:c>
    </x:row>
    <x:row r="297">
      <x:c r="A297" s="17" t="str">
        <x:v>9-10|Male|MDD|1</x:v>
      </x:c>
      <x:c r="B297" s="21" t="str">
        <x:v>9-10</x:v>
      </x:c>
      <x:c r="C297" s="21" t="str">
        <x:v>Male</x:v>
      </x:c>
      <x:c r="D297" s="21" t="str">
        <x:v>MDD</x:v>
      </x:c>
      <x:c r="E297" s="21" t="n">
        <x:v>1</x:v>
      </x:c>
      <x:c r="F297" s="21" t="n">
        <x:v>34</x:v>
      </x:c>
    </x:row>
    <x:row r="298">
      <x:c r="A298" s="20" t="str">
        <x:v>9-10|Male|MDD|2</x:v>
      </x:c>
      <x:c r="B298" s="22" t="str">
        <x:v>9-10</x:v>
      </x:c>
      <x:c r="C298" s="22" t="str">
        <x:v>Male</x:v>
      </x:c>
      <x:c r="D298" s="22" t="str">
        <x:v>MDD</x:v>
      </x:c>
      <x:c r="E298" s="22" t="n">
        <x:v>2</x:v>
      </x:c>
      <x:c r="F298" s="22" t="n">
        <x:v>37</x:v>
      </x:c>
    </x:row>
    <x:row r="299">
      <x:c r="A299" s="17" t="str">
        <x:v>9-10|Male|MDD|3</x:v>
      </x:c>
      <x:c r="B299" s="21" t="str">
        <x:v>9-10</x:v>
      </x:c>
      <x:c r="C299" s="21" t="str">
        <x:v>Male</x:v>
      </x:c>
      <x:c r="D299" s="21" t="str">
        <x:v>MDD</x:v>
      </x:c>
      <x:c r="E299" s="21" t="n">
        <x:v>3</x:v>
      </x:c>
      <x:c r="F299" s="21" t="n">
        <x:v>39</x:v>
      </x:c>
    </x:row>
    <x:row r="300">
      <x:c r="A300" s="20" t="str">
        <x:v>9-10|Male|MDD|4</x:v>
      </x:c>
      <x:c r="B300" s="22" t="str">
        <x:v>9-10</x:v>
      </x:c>
      <x:c r="C300" s="22" t="str">
        <x:v>Male</x:v>
      </x:c>
      <x:c r="D300" s="22" t="str">
        <x:v>MDD</x:v>
      </x:c>
      <x:c r="E300" s="22" t="n">
        <x:v>4</x:v>
      </x:c>
      <x:c r="F300" s="22" t="n">
        <x:v>42</x:v>
      </x:c>
    </x:row>
    <x:row r="301">
      <x:c r="A301" s="17" t="str">
        <x:v>9-10|Male|MDD|5</x:v>
      </x:c>
      <x:c r="B301" s="21" t="str">
        <x:v>9-10</x:v>
      </x:c>
      <x:c r="C301" s="21" t="str">
        <x:v>Male</x:v>
      </x:c>
      <x:c r="D301" s="21" t="str">
        <x:v>MDD</x:v>
      </x:c>
      <x:c r="E301" s="21" t="n">
        <x:v>5</x:v>
      </x:c>
      <x:c r="F301" s="21" t="n">
        <x:v>44</x:v>
      </x:c>
    </x:row>
    <x:row r="302">
      <x:c r="A302" s="20" t="str">
        <x:v>9-10|Male|MDD|6</x:v>
      </x:c>
      <x:c r="B302" s="22" t="str">
        <x:v>9-10</x:v>
      </x:c>
      <x:c r="C302" s="22" t="str">
        <x:v>Male</x:v>
      </x:c>
      <x:c r="D302" s="22" t="str">
        <x:v>MDD</x:v>
      </x:c>
      <x:c r="E302" s="22" t="n">
        <x:v>6</x:v>
      </x:c>
      <x:c r="F302" s="22" t="n">
        <x:v>46</x:v>
      </x:c>
    </x:row>
    <x:row r="303">
      <x:c r="A303" s="17" t="str">
        <x:v>9-10|Male|MDD|7</x:v>
      </x:c>
      <x:c r="B303" s="21" t="str">
        <x:v>9-10</x:v>
      </x:c>
      <x:c r="C303" s="21" t="str">
        <x:v>Male</x:v>
      </x:c>
      <x:c r="D303" s="21" t="str">
        <x:v>MDD</x:v>
      </x:c>
      <x:c r="E303" s="21" t="n">
        <x:v>7</x:v>
      </x:c>
      <x:c r="F303" s="21" t="n">
        <x:v>49</x:v>
      </x:c>
    </x:row>
    <x:row r="304">
      <x:c r="A304" s="20" t="str">
        <x:v>9-10|Male|MDD|8</x:v>
      </x:c>
      <x:c r="B304" s="22" t="str">
        <x:v>9-10</x:v>
      </x:c>
      <x:c r="C304" s="22" t="str">
        <x:v>Male</x:v>
      </x:c>
      <x:c r="D304" s="22" t="str">
        <x:v>MDD</x:v>
      </x:c>
      <x:c r="E304" s="22" t="n">
        <x:v>8</x:v>
      </x:c>
      <x:c r="F304" s="22" t="n">
        <x:v>51</x:v>
      </x:c>
    </x:row>
    <x:row r="305">
      <x:c r="A305" s="17" t="str">
        <x:v>9-10|Male|MDD|9</x:v>
      </x:c>
      <x:c r="B305" s="21" t="str">
        <x:v>9-10</x:v>
      </x:c>
      <x:c r="C305" s="21" t="str">
        <x:v>Male</x:v>
      </x:c>
      <x:c r="D305" s="21" t="str">
        <x:v>MDD</x:v>
      </x:c>
      <x:c r="E305" s="21" t="n">
        <x:v>9</x:v>
      </x:c>
      <x:c r="F305" s="21" t="n">
        <x:v>54</x:v>
      </x:c>
    </x:row>
    <x:row r="306">
      <x:c r="A306" s="20" t="str">
        <x:v>9-10|Male|MDD|10</x:v>
      </x:c>
      <x:c r="B306" s="22" t="str">
        <x:v>9-10</x:v>
      </x:c>
      <x:c r="C306" s="22" t="str">
        <x:v>Male</x:v>
      </x:c>
      <x:c r="D306" s="22" t="str">
        <x:v>MDD</x:v>
      </x:c>
      <x:c r="E306" s="22" t="n">
        <x:v>10</x:v>
      </x:c>
      <x:c r="F306" s="22" t="n">
        <x:v>56</x:v>
      </x:c>
    </x:row>
    <x:row r="307">
      <x:c r="A307" s="17" t="str">
        <x:v>9-10|Male|MDD|11</x:v>
      </x:c>
      <x:c r="B307" s="21" t="str">
        <x:v>9-10</x:v>
      </x:c>
      <x:c r="C307" s="21" t="str">
        <x:v>Male</x:v>
      </x:c>
      <x:c r="D307" s="21" t="str">
        <x:v>MDD</x:v>
      </x:c>
      <x:c r="E307" s="21" t="n">
        <x:v>11</x:v>
      </x:c>
      <x:c r="F307" s="21" t="n">
        <x:v>59</x:v>
      </x:c>
    </x:row>
    <x:row r="308">
      <x:c r="A308" s="20" t="str">
        <x:v>9-10|Male|MDD|12</x:v>
      </x:c>
      <x:c r="B308" s="22" t="str">
        <x:v>9-10</x:v>
      </x:c>
      <x:c r="C308" s="22" t="str">
        <x:v>Male</x:v>
      </x:c>
      <x:c r="D308" s="22" t="str">
        <x:v>MDD</x:v>
      </x:c>
      <x:c r="E308" s="22" t="n">
        <x:v>12</x:v>
      </x:c>
      <x:c r="F308" s="22" t="n">
        <x:v>61</x:v>
      </x:c>
    </x:row>
    <x:row r="309">
      <x:c r="A309" s="17" t="str">
        <x:v>9-10|Male|MDD|13</x:v>
      </x:c>
      <x:c r="B309" s="21" t="str">
        <x:v>9-10</x:v>
      </x:c>
      <x:c r="C309" s="21" t="str">
        <x:v>Male</x:v>
      </x:c>
      <x:c r="D309" s="21" t="str">
        <x:v>MDD</x:v>
      </x:c>
      <x:c r="E309" s="21" t="n">
        <x:v>13</x:v>
      </x:c>
      <x:c r="F309" s="21" t="n">
        <x:v>64</x:v>
      </x:c>
    </x:row>
    <x:row r="310">
      <x:c r="A310" s="20" t="str">
        <x:v>9-10|Male|MDD|14</x:v>
      </x:c>
      <x:c r="B310" s="22" t="str">
        <x:v>9-10</x:v>
      </x:c>
      <x:c r="C310" s="22" t="str">
        <x:v>Male</x:v>
      </x:c>
      <x:c r="D310" s="22" t="str">
        <x:v>MDD</x:v>
      </x:c>
      <x:c r="E310" s="22" t="n">
        <x:v>14</x:v>
      </x:c>
      <x:c r="F310" s="22" t="n">
        <x:v>66</x:v>
      </x:c>
    </x:row>
    <x:row r="311">
      <x:c r="A311" s="17" t="str">
        <x:v>9-10|Male|MDD|15</x:v>
      </x:c>
      <x:c r="B311" s="21" t="str">
        <x:v>9-10</x:v>
      </x:c>
      <x:c r="C311" s="21" t="str">
        <x:v>Male</x:v>
      </x:c>
      <x:c r="D311" s="21" t="str">
        <x:v>MDD</x:v>
      </x:c>
      <x:c r="E311" s="21" t="n">
        <x:v>15</x:v>
      </x:c>
      <x:c r="F311" s="21" t="n">
        <x:v>68</x:v>
      </x:c>
    </x:row>
    <x:row r="312">
      <x:c r="A312" s="20" t="str">
        <x:v>9-10|Male|MDD|16</x:v>
      </x:c>
      <x:c r="B312" s="22" t="str">
        <x:v>9-10</x:v>
      </x:c>
      <x:c r="C312" s="22" t="str">
        <x:v>Male</x:v>
      </x:c>
      <x:c r="D312" s="22" t="str">
        <x:v>MDD</x:v>
      </x:c>
      <x:c r="E312" s="22" t="n">
        <x:v>16</x:v>
      </x:c>
      <x:c r="F312" s="22" t="n">
        <x:v>71</x:v>
      </x:c>
    </x:row>
    <x:row r="313">
      <x:c r="A313" s="17" t="str">
        <x:v>9-10|Male|MDD|17</x:v>
      </x:c>
      <x:c r="B313" s="21" t="str">
        <x:v>9-10</x:v>
      </x:c>
      <x:c r="C313" s="21" t="str">
        <x:v>Male</x:v>
      </x:c>
      <x:c r="D313" s="21" t="str">
        <x:v>MDD</x:v>
      </x:c>
      <x:c r="E313" s="21" t="n">
        <x:v>17</x:v>
      </x:c>
      <x:c r="F313" s="21" t="n">
        <x:v>73</x:v>
      </x:c>
    </x:row>
    <x:row r="314">
      <x:c r="A314" s="20" t="str">
        <x:v>9-10|Male|MDD|18</x:v>
      </x:c>
      <x:c r="B314" s="22" t="str">
        <x:v>9-10</x:v>
      </x:c>
      <x:c r="C314" s="22" t="str">
        <x:v>Male</x:v>
      </x:c>
      <x:c r="D314" s="22" t="str">
        <x:v>MDD</x:v>
      </x:c>
      <x:c r="E314" s="22" t="n">
        <x:v>18</x:v>
      </x:c>
      <x:c r="F314" s="22" t="n">
        <x:v>76</x:v>
      </x:c>
    </x:row>
    <x:row r="315">
      <x:c r="A315" s="17" t="str">
        <x:v>9-10|Male|MDD|19</x:v>
      </x:c>
      <x:c r="B315" s="21" t="str">
        <x:v>9-10</x:v>
      </x:c>
      <x:c r="C315" s="21" t="str">
        <x:v>Male</x:v>
      </x:c>
      <x:c r="D315" s="21" t="str">
        <x:v>MDD</x:v>
      </x:c>
      <x:c r="E315" s="21" t="n">
        <x:v>19</x:v>
      </x:c>
      <x:c r="F315" s="21" t="n">
        <x:v>78</x:v>
      </x:c>
    </x:row>
    <x:row r="316">
      <x:c r="A316" s="20" t="str">
        <x:v>9-10|Male|MDD|20</x:v>
      </x:c>
      <x:c r="B316" s="22" t="str">
        <x:v>9-10</x:v>
      </x:c>
      <x:c r="C316" s="22" t="str">
        <x:v>Male</x:v>
      </x:c>
      <x:c r="D316" s="22" t="str">
        <x:v>MDD</x:v>
      </x:c>
      <x:c r="E316" s="22" t="n">
        <x:v>20</x:v>
      </x:c>
      <x:c r="F316" s="22" t="n">
        <x:v>81</x:v>
      </x:c>
    </x:row>
    <x:row r="317">
      <x:c r="A317" s="17" t="str">
        <x:v>9-10|Male|MDD|21</x:v>
      </x:c>
      <x:c r="B317" s="21" t="str">
        <x:v>9-10</x:v>
      </x:c>
      <x:c r="C317" s="21" t="str">
        <x:v>Male</x:v>
      </x:c>
      <x:c r="D317" s="21" t="str">
        <x:v>MDD</x:v>
      </x:c>
      <x:c r="E317" s="21" t="n">
        <x:v>21</x:v>
      </x:c>
      <x:c r="F317" s="21" t="n">
        <x:v>83</x:v>
      </x:c>
    </x:row>
    <x:row r="318">
      <x:c r="A318" s="20" t="str">
        <x:v>9-10|Male|MDD|22</x:v>
      </x:c>
      <x:c r="B318" s="22" t="str">
        <x:v>9-10</x:v>
      </x:c>
      <x:c r="C318" s="22" t="str">
        <x:v>Male</x:v>
      </x:c>
      <x:c r="D318" s="22" t="str">
        <x:v>MDD</x:v>
      </x:c>
      <x:c r="E318" s="22" t="n">
        <x:v>22</x:v>
      </x:c>
      <x:c r="F318" s="22" t="n">
        <x:v>86</x:v>
      </x:c>
    </x:row>
    <x:row r="319">
      <x:c r="A319" s="17" t="str">
        <x:v>9-10|Male|MDD|23</x:v>
      </x:c>
      <x:c r="B319" s="21" t="str">
        <x:v>9-10</x:v>
      </x:c>
      <x:c r="C319" s="21" t="str">
        <x:v>Male</x:v>
      </x:c>
      <x:c r="D319" s="21" t="str">
        <x:v>MDD</x:v>
      </x:c>
      <x:c r="E319" s="21" t="n">
        <x:v>23</x:v>
      </x:c>
      <x:c r="F319" s="21" t="n">
        <x:v>88</x:v>
      </x:c>
    </x:row>
    <x:row r="320">
      <x:c r="A320" s="20" t="str">
        <x:v>9-10|Male|MDD|24</x:v>
      </x:c>
      <x:c r="B320" s="22" t="str">
        <x:v>9-10</x:v>
      </x:c>
      <x:c r="C320" s="22" t="str">
        <x:v>Male</x:v>
      </x:c>
      <x:c r="D320" s="22" t="str">
        <x:v>MDD</x:v>
      </x:c>
      <x:c r="E320" s="22" t="n">
        <x:v>24</x:v>
      </x:c>
      <x:c r="F320" s="22" t="n">
        <x:v>90</x:v>
      </x:c>
    </x:row>
    <x:row r="321">
      <x:c r="A321" s="17" t="str">
        <x:v>9-10|Male|MDD|25</x:v>
      </x:c>
      <x:c r="B321" s="21" t="str">
        <x:v>9-10</x:v>
      </x:c>
      <x:c r="C321" s="21" t="str">
        <x:v>Male</x:v>
      </x:c>
      <x:c r="D321" s="21" t="str">
        <x:v>MDD</x:v>
      </x:c>
      <x:c r="E321" s="21" t="n">
        <x:v>25</x:v>
      </x:c>
      <x:c r="F321" s="21" t="n">
        <x:v>93</x:v>
      </x:c>
    </x:row>
    <x:row r="322">
      <x:c r="A322" s="20" t="str">
        <x:v>9-10|Male|MDD|26</x:v>
      </x:c>
      <x:c r="B322" s="22" t="str">
        <x:v>9-10</x:v>
      </x:c>
      <x:c r="C322" s="22" t="str">
        <x:v>Male</x:v>
      </x:c>
      <x:c r="D322" s="22" t="str">
        <x:v>MDD</x:v>
      </x:c>
      <x:c r="E322" s="22" t="n">
        <x:v>26</x:v>
      </x:c>
      <x:c r="F322" s="22" t="n">
        <x:v>95</x:v>
      </x:c>
    </x:row>
    <x:row r="323">
      <x:c r="A323" s="17" t="str">
        <x:v>9-10|Male|MDD|27</x:v>
      </x:c>
      <x:c r="B323" s="21" t="str">
        <x:v>9-10</x:v>
      </x:c>
      <x:c r="C323" s="21" t="str">
        <x:v>Male</x:v>
      </x:c>
      <x:c r="D323" s="21" t="str">
        <x:v>MDD</x:v>
      </x:c>
      <x:c r="E323" s="21" t="n">
        <x:v>27</x:v>
      </x:c>
      <x:c r="F323" s="21" t="n">
        <x:v>98</x:v>
      </x:c>
    </x:row>
    <x:row r="324">
      <x:c r="A324" s="20" t="str">
        <x:v>9-10|Male|MDD|28</x:v>
      </x:c>
      <x:c r="B324" s="22" t="str">
        <x:v>9-10</x:v>
      </x:c>
      <x:c r="C324" s="22" t="str">
        <x:v>Male</x:v>
      </x:c>
      <x:c r="D324" s="22" t="str">
        <x:v>MDD</x:v>
      </x:c>
      <x:c r="E324" s="22" t="n">
        <x:v>28</x:v>
      </x:c>
      <x:c r="F324" s="22" t="n">
        <x:v>100</x:v>
      </x:c>
    </x:row>
    <x:row r="325">
      <x:c r="A325" s="17" t="str">
        <x:v>9-10|Male|MDD|29</x:v>
      </x:c>
      <x:c r="B325" s="21" t="str">
        <x:v>9-10</x:v>
      </x:c>
      <x:c r="C325" s="21" t="str">
        <x:v>Male</x:v>
      </x:c>
      <x:c r="D325" s="21" t="str">
        <x:v>MDD</x:v>
      </x:c>
      <x:c r="E325" s="21" t="n">
        <x:v>29</x:v>
      </x:c>
      <x:c r="F325" s="21" t="n">
        <x:v>103</x:v>
      </x:c>
    </x:row>
    <x:row r="326">
      <x:c r="A326" s="20" t="str">
        <x:v>9-10|Male|MDD|30</x:v>
      </x:c>
      <x:c r="B326" s="22" t="str">
        <x:v>9-10</x:v>
      </x:c>
      <x:c r="C326" s="22" t="str">
        <x:v>Male</x:v>
      </x:c>
      <x:c r="D326" s="22" t="str">
        <x:v>MDD</x:v>
      </x:c>
      <x:c r="E326" s="22" t="n">
        <x:v>30</x:v>
      </x:c>
      <x:c r="F326" s="22" t="n">
        <x:v>105</x:v>
      </x:c>
    </x:row>
    <x:row r="327">
      <x:c r="A327" s="17" t="str">
        <x:v>9-10|Male|GAD|0</x:v>
      </x:c>
      <x:c r="B327" s="21" t="str">
        <x:v>9-10</x:v>
      </x:c>
      <x:c r="C327" s="21" t="str">
        <x:v>Male</x:v>
      </x:c>
      <x:c r="D327" s="21" t="str">
        <x:v>GAD</x:v>
      </x:c>
      <x:c r="E327" s="21" t="n">
        <x:v>0</x:v>
      </x:c>
      <x:c r="F327" s="21" t="n">
        <x:v>26</x:v>
      </x:c>
    </x:row>
    <x:row r="328">
      <x:c r="A328" s="20" t="str">
        <x:v>9-10|Male|GAD|1</x:v>
      </x:c>
      <x:c r="B328" s="22" t="str">
        <x:v>9-10</x:v>
      </x:c>
      <x:c r="C328" s="22" t="str">
        <x:v>Male</x:v>
      </x:c>
      <x:c r="D328" s="22" t="str">
        <x:v>GAD</x:v>
      </x:c>
      <x:c r="E328" s="22" t="n">
        <x:v>1</x:v>
      </x:c>
      <x:c r="F328" s="22" t="n">
        <x:v>29</x:v>
      </x:c>
    </x:row>
    <x:row r="329">
      <x:c r="A329" s="17" t="str">
        <x:v>9-10|Male|GAD|2</x:v>
      </x:c>
      <x:c r="B329" s="21" t="str">
        <x:v>9-10</x:v>
      </x:c>
      <x:c r="C329" s="21" t="str">
        <x:v>Male</x:v>
      </x:c>
      <x:c r="D329" s="21" t="str">
        <x:v>GAD</x:v>
      </x:c>
      <x:c r="E329" s="21" t="n">
        <x:v>2</x:v>
      </x:c>
      <x:c r="F329" s="21" t="n">
        <x:v>33</x:v>
      </x:c>
    </x:row>
    <x:row r="330">
      <x:c r="A330" s="20" t="str">
        <x:v>9-10|Male|GAD|3</x:v>
      </x:c>
      <x:c r="B330" s="22" t="str">
        <x:v>9-10</x:v>
      </x:c>
      <x:c r="C330" s="22" t="str">
        <x:v>Male</x:v>
      </x:c>
      <x:c r="D330" s="22" t="str">
        <x:v>GAD</x:v>
      </x:c>
      <x:c r="E330" s="22" t="n">
        <x:v>3</x:v>
      </x:c>
      <x:c r="F330" s="22" t="n">
        <x:v>36</x:v>
      </x:c>
    </x:row>
    <x:row r="331">
      <x:c r="A331" s="17" t="str">
        <x:v>9-10|Male|GAD|4</x:v>
      </x:c>
      <x:c r="B331" s="21" t="str">
        <x:v>9-10</x:v>
      </x:c>
      <x:c r="C331" s="21" t="str">
        <x:v>Male</x:v>
      </x:c>
      <x:c r="D331" s="21" t="str">
        <x:v>GAD</x:v>
      </x:c>
      <x:c r="E331" s="21" t="n">
        <x:v>4</x:v>
      </x:c>
      <x:c r="F331" s="21" t="n">
        <x:v>40</x:v>
      </x:c>
    </x:row>
    <x:row r="332">
      <x:c r="A332" s="20" t="str">
        <x:v>9-10|Male|GAD|5</x:v>
      </x:c>
      <x:c r="B332" s="22" t="str">
        <x:v>9-10</x:v>
      </x:c>
      <x:c r="C332" s="22" t="str">
        <x:v>Male</x:v>
      </x:c>
      <x:c r="D332" s="22" t="str">
        <x:v>GAD</x:v>
      </x:c>
      <x:c r="E332" s="22" t="n">
        <x:v>5</x:v>
      </x:c>
      <x:c r="F332" s="22" t="n">
        <x:v>43</x:v>
      </x:c>
    </x:row>
    <x:row r="333">
      <x:c r="A333" s="17" t="str">
        <x:v>9-10|Male|GAD|6</x:v>
      </x:c>
      <x:c r="B333" s="21" t="str">
        <x:v>9-10</x:v>
      </x:c>
      <x:c r="C333" s="21" t="str">
        <x:v>Male</x:v>
      </x:c>
      <x:c r="D333" s="21" t="str">
        <x:v>GAD</x:v>
      </x:c>
      <x:c r="E333" s="21" t="n">
        <x:v>6</x:v>
      </x:c>
      <x:c r="F333" s="21" t="n">
        <x:v>46</x:v>
      </x:c>
    </x:row>
    <x:row r="334">
      <x:c r="A334" s="20" t="str">
        <x:v>9-10|Male|GAD|7</x:v>
      </x:c>
      <x:c r="B334" s="22" t="str">
        <x:v>9-10</x:v>
      </x:c>
      <x:c r="C334" s="22" t="str">
        <x:v>Male</x:v>
      </x:c>
      <x:c r="D334" s="22" t="str">
        <x:v>GAD</x:v>
      </x:c>
      <x:c r="E334" s="22" t="n">
        <x:v>7</x:v>
      </x:c>
      <x:c r="F334" s="22" t="n">
        <x:v>50</x:v>
      </x:c>
    </x:row>
    <x:row r="335">
      <x:c r="A335" s="17" t="str">
        <x:v>9-10|Male|GAD|8</x:v>
      </x:c>
      <x:c r="B335" s="21" t="str">
        <x:v>9-10</x:v>
      </x:c>
      <x:c r="C335" s="21" t="str">
        <x:v>Male</x:v>
      </x:c>
      <x:c r="D335" s="21" t="str">
        <x:v>GAD</x:v>
      </x:c>
      <x:c r="E335" s="21" t="n">
        <x:v>8</x:v>
      </x:c>
      <x:c r="F335" s="21" t="n">
        <x:v>53</x:v>
      </x:c>
    </x:row>
    <x:row r="336">
      <x:c r="A336" s="20" t="str">
        <x:v>9-10|Male|GAD|9</x:v>
      </x:c>
      <x:c r="B336" s="22" t="str">
        <x:v>9-10</x:v>
      </x:c>
      <x:c r="C336" s="22" t="str">
        <x:v>Male</x:v>
      </x:c>
      <x:c r="D336" s="22" t="str">
        <x:v>GAD</x:v>
      </x:c>
      <x:c r="E336" s="22" t="n">
        <x:v>9</x:v>
      </x:c>
      <x:c r="F336" s="22" t="n">
        <x:v>57</x:v>
      </x:c>
    </x:row>
    <x:row r="337">
      <x:c r="A337" s="17" t="str">
        <x:v>9-10|Male|GAD|10</x:v>
      </x:c>
      <x:c r="B337" s="21" t="str">
        <x:v>9-10</x:v>
      </x:c>
      <x:c r="C337" s="21" t="str">
        <x:v>Male</x:v>
      </x:c>
      <x:c r="D337" s="21" t="str">
        <x:v>GAD</x:v>
      </x:c>
      <x:c r="E337" s="21" t="n">
        <x:v>10</x:v>
      </x:c>
      <x:c r="F337" s="21" t="n">
        <x:v>60</x:v>
      </x:c>
    </x:row>
    <x:row r="338">
      <x:c r="A338" s="20" t="str">
        <x:v>9-10|Male|GAD|11</x:v>
      </x:c>
      <x:c r="B338" s="22" t="str">
        <x:v>9-10</x:v>
      </x:c>
      <x:c r="C338" s="22" t="str">
        <x:v>Male</x:v>
      </x:c>
      <x:c r="D338" s="22" t="str">
        <x:v>GAD</x:v>
      </x:c>
      <x:c r="E338" s="22" t="n">
        <x:v>11</x:v>
      </x:c>
      <x:c r="F338" s="22" t="n">
        <x:v>63</x:v>
      </x:c>
    </x:row>
    <x:row r="339">
      <x:c r="A339" s="17" t="str">
        <x:v>9-10|Male|GAD|12</x:v>
      </x:c>
      <x:c r="B339" s="21" t="str">
        <x:v>9-10</x:v>
      </x:c>
      <x:c r="C339" s="21" t="str">
        <x:v>Male</x:v>
      </x:c>
      <x:c r="D339" s="21" t="str">
        <x:v>GAD</x:v>
      </x:c>
      <x:c r="E339" s="21" t="n">
        <x:v>12</x:v>
      </x:c>
      <x:c r="F339" s="21" t="n">
        <x:v>67</x:v>
      </x:c>
    </x:row>
    <x:row r="340">
      <x:c r="A340" s="20" t="str">
        <x:v>9-10|Male|GAD|13</x:v>
      </x:c>
      <x:c r="B340" s="22" t="str">
        <x:v>9-10</x:v>
      </x:c>
      <x:c r="C340" s="22" t="str">
        <x:v>Male</x:v>
      </x:c>
      <x:c r="D340" s="22" t="str">
        <x:v>GAD</x:v>
      </x:c>
      <x:c r="E340" s="22" t="n">
        <x:v>13</x:v>
      </x:c>
      <x:c r="F340" s="22" t="n">
        <x:v>70</x:v>
      </x:c>
    </x:row>
    <x:row r="341">
      <x:c r="A341" s="17" t="str">
        <x:v>9-10|Male|GAD|14</x:v>
      </x:c>
      <x:c r="B341" s="21" t="str">
        <x:v>9-10</x:v>
      </x:c>
      <x:c r="C341" s="21" t="str">
        <x:v>Male</x:v>
      </x:c>
      <x:c r="D341" s="21" t="str">
        <x:v>GAD</x:v>
      </x:c>
      <x:c r="E341" s="21" t="n">
        <x:v>14</x:v>
      </x:c>
      <x:c r="F341" s="21" t="n">
        <x:v>74</x:v>
      </x:c>
    </x:row>
    <x:row r="342">
      <x:c r="A342" s="20" t="str">
        <x:v>9-10|Male|GAD|15</x:v>
      </x:c>
      <x:c r="B342" s="22" t="str">
        <x:v>9-10</x:v>
      </x:c>
      <x:c r="C342" s="22" t="str">
        <x:v>Male</x:v>
      </x:c>
      <x:c r="D342" s="22" t="str">
        <x:v>GAD</x:v>
      </x:c>
      <x:c r="E342" s="22" t="n">
        <x:v>15</x:v>
      </x:c>
      <x:c r="F342" s="22" t="n">
        <x:v>77</x:v>
      </x:c>
    </x:row>
    <x:row r="343">
      <x:c r="A343" s="17" t="str">
        <x:v>9-10|Male|GAD|16</x:v>
      </x:c>
      <x:c r="B343" s="21" t="str">
        <x:v>9-10</x:v>
      </x:c>
      <x:c r="C343" s="21" t="str">
        <x:v>Male</x:v>
      </x:c>
      <x:c r="D343" s="21" t="str">
        <x:v>GAD</x:v>
      </x:c>
      <x:c r="E343" s="21" t="n">
        <x:v>16</x:v>
      </x:c>
      <x:c r="F343" s="21" t="n">
        <x:v>80</x:v>
      </x:c>
    </x:row>
    <x:row r="344">
      <x:c r="A344" s="20" t="str">
        <x:v>9-10|Male|GAD|17</x:v>
      </x:c>
      <x:c r="B344" s="22" t="str">
        <x:v>9-10</x:v>
      </x:c>
      <x:c r="C344" s="22" t="str">
        <x:v>Male</x:v>
      </x:c>
      <x:c r="D344" s="22" t="str">
        <x:v>GAD</x:v>
      </x:c>
      <x:c r="E344" s="22" t="n">
        <x:v>17</x:v>
      </x:c>
      <x:c r="F344" s="22" t="n">
        <x:v>84</x:v>
      </x:c>
    </x:row>
    <x:row r="345">
      <x:c r="A345" s="17" t="str">
        <x:v>9-10|Male|GAD|18</x:v>
      </x:c>
      <x:c r="B345" s="21" t="str">
        <x:v>9-10</x:v>
      </x:c>
      <x:c r="C345" s="21" t="str">
        <x:v>Male</x:v>
      </x:c>
      <x:c r="D345" s="21" t="str">
        <x:v>GAD</x:v>
      </x:c>
      <x:c r="E345" s="21" t="n">
        <x:v>18</x:v>
      </x:c>
      <x:c r="F345" s="21" t="n">
        <x:v>87</x:v>
      </x:c>
    </x:row>
    <x:row r="346">
      <x:c r="A346" s="20" t="str">
        <x:v>9-10|Male|OCD|0</x:v>
      </x:c>
      <x:c r="B346" s="22" t="str">
        <x:v>9-10</x:v>
      </x:c>
      <x:c r="C346" s="22" t="str">
        <x:v>Male</x:v>
      </x:c>
      <x:c r="D346" s="22" t="str">
        <x:v>OCD</x:v>
      </x:c>
      <x:c r="E346" s="22" t="n">
        <x:v>0</x:v>
      </x:c>
      <x:c r="F346" s="22" t="n">
        <x:v>34</x:v>
      </x:c>
    </x:row>
    <x:row r="347">
      <x:c r="A347" s="17" t="str">
        <x:v>9-10|Male|OCD|1</x:v>
      </x:c>
      <x:c r="B347" s="21" t="str">
        <x:v>9-10</x:v>
      </x:c>
      <x:c r="C347" s="21" t="str">
        <x:v>Male</x:v>
      </x:c>
      <x:c r="D347" s="21" t="str">
        <x:v>OCD</x:v>
      </x:c>
      <x:c r="E347" s="21" t="n">
        <x:v>1</x:v>
      </x:c>
      <x:c r="F347" s="21" t="n">
        <x:v>37</x:v>
      </x:c>
    </x:row>
    <x:row r="348">
      <x:c r="A348" s="20" t="str">
        <x:v>9-10|Male|OCD|2</x:v>
      </x:c>
      <x:c r="B348" s="22" t="str">
        <x:v>9-10</x:v>
      </x:c>
      <x:c r="C348" s="22" t="str">
        <x:v>Male</x:v>
      </x:c>
      <x:c r="D348" s="22" t="str">
        <x:v>OCD</x:v>
      </x:c>
      <x:c r="E348" s="22" t="n">
        <x:v>2</x:v>
      </x:c>
      <x:c r="F348" s="22" t="n">
        <x:v>41</x:v>
      </x:c>
    </x:row>
    <x:row r="349">
      <x:c r="A349" s="17" t="str">
        <x:v>9-10|Male|OCD|3</x:v>
      </x:c>
      <x:c r="B349" s="21" t="str">
        <x:v>9-10</x:v>
      </x:c>
      <x:c r="C349" s="21" t="str">
        <x:v>Male</x:v>
      </x:c>
      <x:c r="D349" s="21" t="str">
        <x:v>OCD</x:v>
      </x:c>
      <x:c r="E349" s="21" t="n">
        <x:v>3</x:v>
      </x:c>
      <x:c r="F349" s="21" t="n">
        <x:v>44</x:v>
      </x:c>
    </x:row>
    <x:row r="350">
      <x:c r="A350" s="20" t="str">
        <x:v>9-10|Male|OCD|4</x:v>
      </x:c>
      <x:c r="B350" s="22" t="str">
        <x:v>9-10</x:v>
      </x:c>
      <x:c r="C350" s="22" t="str">
        <x:v>Male</x:v>
      </x:c>
      <x:c r="D350" s="22" t="str">
        <x:v>OCD</x:v>
      </x:c>
      <x:c r="E350" s="22" t="n">
        <x:v>4</x:v>
      </x:c>
      <x:c r="F350" s="22" t="n">
        <x:v>48</x:v>
      </x:c>
    </x:row>
    <x:row r="351">
      <x:c r="A351" s="17" t="str">
        <x:v>9-10|Male|OCD|5</x:v>
      </x:c>
      <x:c r="B351" s="21" t="str">
        <x:v>9-10</x:v>
      </x:c>
      <x:c r="C351" s="21" t="str">
        <x:v>Male</x:v>
      </x:c>
      <x:c r="D351" s="21" t="str">
        <x:v>OCD</x:v>
      </x:c>
      <x:c r="E351" s="21" t="n">
        <x:v>5</x:v>
      </x:c>
      <x:c r="F351" s="21" t="n">
        <x:v>51</x:v>
      </x:c>
    </x:row>
    <x:row r="352">
      <x:c r="A352" s="20" t="str">
        <x:v>9-10|Male|OCD|6</x:v>
      </x:c>
      <x:c r="B352" s="22" t="str">
        <x:v>9-10</x:v>
      </x:c>
      <x:c r="C352" s="22" t="str">
        <x:v>Male</x:v>
      </x:c>
      <x:c r="D352" s="22" t="str">
        <x:v>OCD</x:v>
      </x:c>
      <x:c r="E352" s="22" t="n">
        <x:v>6</x:v>
      </x:c>
      <x:c r="F352" s="22" t="n">
        <x:v>55</x:v>
      </x:c>
    </x:row>
    <x:row r="353">
      <x:c r="A353" s="17" t="str">
        <x:v>9-10|Male|OCD|7</x:v>
      </x:c>
      <x:c r="B353" s="21" t="str">
        <x:v>9-10</x:v>
      </x:c>
      <x:c r="C353" s="21" t="str">
        <x:v>Male</x:v>
      </x:c>
      <x:c r="D353" s="21" t="str">
        <x:v>OCD</x:v>
      </x:c>
      <x:c r="E353" s="21" t="n">
        <x:v>7</x:v>
      </x:c>
      <x:c r="F353" s="21" t="n">
        <x:v>58</x:v>
      </x:c>
    </x:row>
    <x:row r="354">
      <x:c r="A354" s="20" t="str">
        <x:v>9-10|Male|OCD|8</x:v>
      </x:c>
      <x:c r="B354" s="22" t="str">
        <x:v>9-10</x:v>
      </x:c>
      <x:c r="C354" s="22" t="str">
        <x:v>Male</x:v>
      </x:c>
      <x:c r="D354" s="22" t="str">
        <x:v>OCD</x:v>
      </x:c>
      <x:c r="E354" s="22" t="n">
        <x:v>8</x:v>
      </x:c>
      <x:c r="F354" s="22" t="n">
        <x:v>62</x:v>
      </x:c>
    </x:row>
    <x:row r="355">
      <x:c r="A355" s="17" t="str">
        <x:v>9-10|Male|OCD|9</x:v>
      </x:c>
      <x:c r="B355" s="21" t="str">
        <x:v>9-10</x:v>
      </x:c>
      <x:c r="C355" s="21" t="str">
        <x:v>Male</x:v>
      </x:c>
      <x:c r="D355" s="21" t="str">
        <x:v>OCD</x:v>
      </x:c>
      <x:c r="E355" s="21" t="n">
        <x:v>9</x:v>
      </x:c>
      <x:c r="F355" s="21" t="n">
        <x:v>65</x:v>
      </x:c>
    </x:row>
    <x:row r="356">
      <x:c r="A356" s="20" t="str">
        <x:v>9-10|Male|OCD|10</x:v>
      </x:c>
      <x:c r="B356" s="22" t="str">
        <x:v>9-10</x:v>
      </x:c>
      <x:c r="C356" s="22" t="str">
        <x:v>Male</x:v>
      </x:c>
      <x:c r="D356" s="22" t="str">
        <x:v>OCD</x:v>
      </x:c>
      <x:c r="E356" s="22" t="n">
        <x:v>10</x:v>
      </x:c>
      <x:c r="F356" s="22" t="n">
        <x:v>69</x:v>
      </x:c>
    </x:row>
    <x:row r="357">
      <x:c r="A357" s="17" t="str">
        <x:v>9-10|Male|OCD|11</x:v>
      </x:c>
      <x:c r="B357" s="21" t="str">
        <x:v>9-10</x:v>
      </x:c>
      <x:c r="C357" s="21" t="str">
        <x:v>Male</x:v>
      </x:c>
      <x:c r="D357" s="21" t="str">
        <x:v>OCD</x:v>
      </x:c>
      <x:c r="E357" s="21" t="n">
        <x:v>11</x:v>
      </x:c>
      <x:c r="F357" s="21" t="n">
        <x:v>72</x:v>
      </x:c>
    </x:row>
    <x:row r="358">
      <x:c r="A358" s="20" t="str">
        <x:v>9-10|Male|OCD|12</x:v>
      </x:c>
      <x:c r="B358" s="22" t="str">
        <x:v>9-10</x:v>
      </x:c>
      <x:c r="C358" s="22" t="str">
        <x:v>Male</x:v>
      </x:c>
      <x:c r="D358" s="22" t="str">
        <x:v>OCD</x:v>
      </x:c>
      <x:c r="E358" s="22" t="n">
        <x:v>12</x:v>
      </x:c>
      <x:c r="F358" s="22" t="n">
        <x:v>75</x:v>
      </x:c>
    </x:row>
    <x:row r="359">
      <x:c r="A359" s="17" t="str">
        <x:v>9-10|Male|OCD|13</x:v>
      </x:c>
      <x:c r="B359" s="21" t="str">
        <x:v>9-10</x:v>
      </x:c>
      <x:c r="C359" s="21" t="str">
        <x:v>Male</x:v>
      </x:c>
      <x:c r="D359" s="21" t="str">
        <x:v>OCD</x:v>
      </x:c>
      <x:c r="E359" s="21" t="n">
        <x:v>13</x:v>
      </x:c>
      <x:c r="F359" s="21" t="n">
        <x:v>79</x:v>
      </x:c>
    </x:row>
    <x:row r="360">
      <x:c r="A360" s="20" t="str">
        <x:v>9-10|Male|OCD|14</x:v>
      </x:c>
      <x:c r="B360" s="22" t="str">
        <x:v>9-10</x:v>
      </x:c>
      <x:c r="C360" s="22" t="str">
        <x:v>Male</x:v>
      </x:c>
      <x:c r="D360" s="22" t="str">
        <x:v>OCD</x:v>
      </x:c>
      <x:c r="E360" s="22" t="n">
        <x:v>14</x:v>
      </x:c>
      <x:c r="F360" s="22" t="n">
        <x:v>82</x:v>
      </x:c>
    </x:row>
    <x:row r="361">
      <x:c r="A361" s="17" t="str">
        <x:v>9-10|Male|OCD|15</x:v>
      </x:c>
      <x:c r="B361" s="21" t="str">
        <x:v>9-10</x:v>
      </x:c>
      <x:c r="C361" s="21" t="str">
        <x:v>Male</x:v>
      </x:c>
      <x:c r="D361" s="21" t="str">
        <x:v>OCD</x:v>
      </x:c>
      <x:c r="E361" s="21" t="n">
        <x:v>15</x:v>
      </x:c>
      <x:c r="F361" s="21" t="n">
        <x:v>86</x:v>
      </x:c>
    </x:row>
    <x:row r="362">
      <x:c r="A362" s="20" t="str">
        <x:v>9-10|Male|OCD|16</x:v>
      </x:c>
      <x:c r="B362" s="22" t="str">
        <x:v>9-10</x:v>
      </x:c>
      <x:c r="C362" s="22" t="str">
        <x:v>Male</x:v>
      </x:c>
      <x:c r="D362" s="22" t="str">
        <x:v>OCD</x:v>
      </x:c>
      <x:c r="E362" s="22" t="n">
        <x:v>16</x:v>
      </x:c>
      <x:c r="F362" s="22" t="n">
        <x:v>89</x:v>
      </x:c>
    </x:row>
    <x:row r="363">
      <x:c r="A363" s="17" t="str">
        <x:v>9-10|Male|OCD|17</x:v>
      </x:c>
      <x:c r="B363" s="21" t="str">
        <x:v>9-10</x:v>
      </x:c>
      <x:c r="C363" s="21" t="str">
        <x:v>Male</x:v>
      </x:c>
      <x:c r="D363" s="21" t="str">
        <x:v>OCD</x:v>
      </x:c>
      <x:c r="E363" s="21" t="n">
        <x:v>17</x:v>
      </x:c>
      <x:c r="F363" s="21" t="n">
        <x:v>93</x:v>
      </x:c>
    </x:row>
    <x:row r="364">
      <x:c r="A364" s="20" t="str">
        <x:v>9-10|Male|OCD|18</x:v>
      </x:c>
      <x:c r="B364" s="22" t="str">
        <x:v>9-10</x:v>
      </x:c>
      <x:c r="C364" s="22" t="str">
        <x:v>Male</x:v>
      </x:c>
      <x:c r="D364" s="22" t="str">
        <x:v>OCD</x:v>
      </x:c>
      <x:c r="E364" s="22" t="n">
        <x:v>18</x:v>
      </x:c>
      <x:c r="F364" s="22" t="n">
        <x:v>96</x:v>
      </x:c>
    </x:row>
    <x:row r="365">
      <x:c r="A365" s="17" t="str">
        <x:v>9-10|Male|PD|0</x:v>
      </x:c>
      <x:c r="B365" s="21" t="str">
        <x:v>9-10</x:v>
      </x:c>
      <x:c r="C365" s="21" t="str">
        <x:v>Male</x:v>
      </x:c>
      <x:c r="D365" s="21" t="str">
        <x:v>PD</x:v>
      </x:c>
      <x:c r="E365" s="21" t="n">
        <x:v>0</x:v>
      </x:c>
      <x:c r="F365" s="21" t="n">
        <x:v>38</x:v>
      </x:c>
    </x:row>
    <x:row r="366">
      <x:c r="A366" s="20" t="str">
        <x:v>9-10|Male|PD|1</x:v>
      </x:c>
      <x:c r="B366" s="22" t="str">
        <x:v>9-10</x:v>
      </x:c>
      <x:c r="C366" s="22" t="str">
        <x:v>Male</x:v>
      </x:c>
      <x:c r="D366" s="22" t="str">
        <x:v>PD</x:v>
      </x:c>
      <x:c r="E366" s="22" t="n">
        <x:v>1</x:v>
      </x:c>
      <x:c r="F366" s="22" t="n">
        <x:v>41</x:v>
      </x:c>
    </x:row>
    <x:row r="367">
      <x:c r="A367" s="17" t="str">
        <x:v>9-10|Male|PD|2</x:v>
      </x:c>
      <x:c r="B367" s="21" t="str">
        <x:v>9-10</x:v>
      </x:c>
      <x:c r="C367" s="21" t="str">
        <x:v>Male</x:v>
      </x:c>
      <x:c r="D367" s="21" t="str">
        <x:v>PD</x:v>
      </x:c>
      <x:c r="E367" s="21" t="n">
        <x:v>2</x:v>
      </x:c>
      <x:c r="F367" s="21" t="n">
        <x:v>45</x:v>
      </x:c>
    </x:row>
    <x:row r="368">
      <x:c r="A368" s="20" t="str">
        <x:v>9-10|Male|PD|3</x:v>
      </x:c>
      <x:c r="B368" s="22" t="str">
        <x:v>9-10</x:v>
      </x:c>
      <x:c r="C368" s="22" t="str">
        <x:v>Male</x:v>
      </x:c>
      <x:c r="D368" s="22" t="str">
        <x:v>PD</x:v>
      </x:c>
      <x:c r="E368" s="22" t="n">
        <x:v>3</x:v>
      </x:c>
      <x:c r="F368" s="22" t="n">
        <x:v>48</x:v>
      </x:c>
    </x:row>
    <x:row r="369">
      <x:c r="A369" s="17" t="str">
        <x:v>9-10|Male|PD|4</x:v>
      </x:c>
      <x:c r="B369" s="21" t="str">
        <x:v>9-10</x:v>
      </x:c>
      <x:c r="C369" s="21" t="str">
        <x:v>Male</x:v>
      </x:c>
      <x:c r="D369" s="21" t="str">
        <x:v>PD</x:v>
      </x:c>
      <x:c r="E369" s="21" t="n">
        <x:v>4</x:v>
      </x:c>
      <x:c r="F369" s="21" t="n">
        <x:v>51</x:v>
      </x:c>
    </x:row>
    <x:row r="370">
      <x:c r="A370" s="20" t="str">
        <x:v>9-10|Male|PD|5</x:v>
      </x:c>
      <x:c r="B370" s="22" t="str">
        <x:v>9-10</x:v>
      </x:c>
      <x:c r="C370" s="22" t="str">
        <x:v>Male</x:v>
      </x:c>
      <x:c r="D370" s="22" t="str">
        <x:v>PD</x:v>
      </x:c>
      <x:c r="E370" s="22" t="n">
        <x:v>5</x:v>
      </x:c>
      <x:c r="F370" s="22" t="n">
        <x:v>54</x:v>
      </x:c>
    </x:row>
    <x:row r="371">
      <x:c r="A371" s="17" t="str">
        <x:v>9-10|Male|PD|6</x:v>
      </x:c>
      <x:c r="B371" s="21" t="str">
        <x:v>9-10</x:v>
      </x:c>
      <x:c r="C371" s="21" t="str">
        <x:v>Male</x:v>
      </x:c>
      <x:c r="D371" s="21" t="str">
        <x:v>PD</x:v>
      </x:c>
      <x:c r="E371" s="21" t="n">
        <x:v>6</x:v>
      </x:c>
      <x:c r="F371" s="21" t="n">
        <x:v>57</x:v>
      </x:c>
    </x:row>
    <x:row r="372">
      <x:c r="A372" s="20" t="str">
        <x:v>9-10|Male|PD|7</x:v>
      </x:c>
      <x:c r="B372" s="22" t="str">
        <x:v>9-10</x:v>
      </x:c>
      <x:c r="C372" s="22" t="str">
        <x:v>Male</x:v>
      </x:c>
      <x:c r="D372" s="22" t="str">
        <x:v>PD</x:v>
      </x:c>
      <x:c r="E372" s="22" t="n">
        <x:v>7</x:v>
      </x:c>
      <x:c r="F372" s="22" t="n">
        <x:v>60</x:v>
      </x:c>
    </x:row>
    <x:row r="373">
      <x:c r="A373" s="17" t="str">
        <x:v>9-10|Male|PD|8</x:v>
      </x:c>
      <x:c r="B373" s="21" t="str">
        <x:v>9-10</x:v>
      </x:c>
      <x:c r="C373" s="21" t="str">
        <x:v>Male</x:v>
      </x:c>
      <x:c r="D373" s="21" t="str">
        <x:v>PD</x:v>
      </x:c>
      <x:c r="E373" s="21" t="n">
        <x:v>8</x:v>
      </x:c>
      <x:c r="F373" s="21" t="n">
        <x:v>63</x:v>
      </x:c>
    </x:row>
    <x:row r="374">
      <x:c r="A374" s="20" t="str">
        <x:v>9-10|Male|PD|9</x:v>
      </x:c>
      <x:c r="B374" s="22" t="str">
        <x:v>9-10</x:v>
      </x:c>
      <x:c r="C374" s="22" t="str">
        <x:v>Male</x:v>
      </x:c>
      <x:c r="D374" s="22" t="str">
        <x:v>PD</x:v>
      </x:c>
      <x:c r="E374" s="22" t="n">
        <x:v>9</x:v>
      </x:c>
      <x:c r="F374" s="22" t="n">
        <x:v>66</x:v>
      </x:c>
    </x:row>
    <x:row r="375">
      <x:c r="A375" s="17" t="str">
        <x:v>9-10|Male|PD|10</x:v>
      </x:c>
      <x:c r="B375" s="21" t="str">
        <x:v>9-10</x:v>
      </x:c>
      <x:c r="C375" s="21" t="str">
        <x:v>Male</x:v>
      </x:c>
      <x:c r="D375" s="21" t="str">
        <x:v>PD</x:v>
      </x:c>
      <x:c r="E375" s="21" t="n">
        <x:v>10</x:v>
      </x:c>
      <x:c r="F375" s="21" t="n">
        <x:v>69</x:v>
      </x:c>
    </x:row>
    <x:row r="376">
      <x:c r="A376" s="20" t="str">
        <x:v>9-10|Male|PD|11</x:v>
      </x:c>
      <x:c r="B376" s="22" t="str">
        <x:v>9-10</x:v>
      </x:c>
      <x:c r="C376" s="22" t="str">
        <x:v>Male</x:v>
      </x:c>
      <x:c r="D376" s="22" t="str">
        <x:v>PD</x:v>
      </x:c>
      <x:c r="E376" s="22" t="n">
        <x:v>11</x:v>
      </x:c>
      <x:c r="F376" s="22" t="n">
        <x:v>73</x:v>
      </x:c>
    </x:row>
    <x:row r="377">
      <x:c r="A377" s="17" t="str">
        <x:v>9-10|Male|PD|12</x:v>
      </x:c>
      <x:c r="B377" s="21" t="str">
        <x:v>9-10</x:v>
      </x:c>
      <x:c r="C377" s="21" t="str">
        <x:v>Male</x:v>
      </x:c>
      <x:c r="D377" s="21" t="str">
        <x:v>PD</x:v>
      </x:c>
      <x:c r="E377" s="21" t="n">
        <x:v>12</x:v>
      </x:c>
      <x:c r="F377" s="21" t="n">
        <x:v>76</x:v>
      </x:c>
    </x:row>
    <x:row r="378">
      <x:c r="A378" s="20" t="str">
        <x:v>9-10|Male|PD|13</x:v>
      </x:c>
      <x:c r="B378" s="22" t="str">
        <x:v>9-10</x:v>
      </x:c>
      <x:c r="C378" s="22" t="str">
        <x:v>Male</x:v>
      </x:c>
      <x:c r="D378" s="22" t="str">
        <x:v>PD</x:v>
      </x:c>
      <x:c r="E378" s="22" t="n">
        <x:v>13</x:v>
      </x:c>
      <x:c r="F378" s="22" t="n">
        <x:v>79</x:v>
      </x:c>
    </x:row>
    <x:row r="379">
      <x:c r="A379" s="17" t="str">
        <x:v>9-10|Male|PD|14</x:v>
      </x:c>
      <x:c r="B379" s="21" t="str">
        <x:v>9-10</x:v>
      </x:c>
      <x:c r="C379" s="21" t="str">
        <x:v>Male</x:v>
      </x:c>
      <x:c r="D379" s="21" t="str">
        <x:v>PD</x:v>
      </x:c>
      <x:c r="E379" s="21" t="n">
        <x:v>14</x:v>
      </x:c>
      <x:c r="F379" s="21" t="n">
        <x:v>82</x:v>
      </x:c>
    </x:row>
    <x:row r="380">
      <x:c r="A380" s="20" t="str">
        <x:v>9-10|Male|PD|15</x:v>
      </x:c>
      <x:c r="B380" s="22" t="str">
        <x:v>9-10</x:v>
      </x:c>
      <x:c r="C380" s="22" t="str">
        <x:v>Male</x:v>
      </x:c>
      <x:c r="D380" s="22" t="str">
        <x:v>PD</x:v>
      </x:c>
      <x:c r="E380" s="22" t="n">
        <x:v>15</x:v>
      </x:c>
      <x:c r="F380" s="22" t="n">
        <x:v>85</x:v>
      </x:c>
    </x:row>
    <x:row r="381">
      <x:c r="A381" s="17" t="str">
        <x:v>9-10|Male|PD|16</x:v>
      </x:c>
      <x:c r="B381" s="21" t="str">
        <x:v>9-10</x:v>
      </x:c>
      <x:c r="C381" s="21" t="str">
        <x:v>Male</x:v>
      </x:c>
      <x:c r="D381" s="21" t="str">
        <x:v>PD</x:v>
      </x:c>
      <x:c r="E381" s="21" t="n">
        <x:v>16</x:v>
      </x:c>
      <x:c r="F381" s="21" t="n">
        <x:v>88</x:v>
      </x:c>
    </x:row>
    <x:row r="382">
      <x:c r="A382" s="20" t="str">
        <x:v>9-10|Male|PD|17</x:v>
      </x:c>
      <x:c r="B382" s="22" t="str">
        <x:v>9-10</x:v>
      </x:c>
      <x:c r="C382" s="22" t="str">
        <x:v>Male</x:v>
      </x:c>
      <x:c r="D382" s="22" t="str">
        <x:v>PD</x:v>
      </x:c>
      <x:c r="E382" s="22" t="n">
        <x:v>17</x:v>
      </x:c>
      <x:c r="F382" s="22" t="n">
        <x:v>91</x:v>
      </x:c>
    </x:row>
    <x:row r="383">
      <x:c r="A383" s="17" t="str">
        <x:v>9-10|Male|PD|18</x:v>
      </x:c>
      <x:c r="B383" s="21" t="str">
        <x:v>9-10</x:v>
      </x:c>
      <x:c r="C383" s="21" t="str">
        <x:v>Male</x:v>
      </x:c>
      <x:c r="D383" s="21" t="str">
        <x:v>PD</x:v>
      </x:c>
      <x:c r="E383" s="21" t="n">
        <x:v>18</x:v>
      </x:c>
      <x:c r="F383" s="21" t="n">
        <x:v>94</x:v>
      </x:c>
    </x:row>
    <x:row r="384">
      <x:c r="A384" s="20" t="str">
        <x:v>9-10|Male|PD|19</x:v>
      </x:c>
      <x:c r="B384" s="22" t="str">
        <x:v>9-10</x:v>
      </x:c>
      <x:c r="C384" s="22" t="str">
        <x:v>Male</x:v>
      </x:c>
      <x:c r="D384" s="22" t="str">
        <x:v>PD</x:v>
      </x:c>
      <x:c r="E384" s="22" t="n">
        <x:v>19</x:v>
      </x:c>
      <x:c r="F384" s="22" t="n">
        <x:v>97</x:v>
      </x:c>
    </x:row>
    <x:row r="385">
      <x:c r="A385" s="17" t="str">
        <x:v>9-10|Male|PD|20</x:v>
      </x:c>
      <x:c r="B385" s="21" t="str">
        <x:v>9-10</x:v>
      </x:c>
      <x:c r="C385" s="21" t="str">
        <x:v>Male</x:v>
      </x:c>
      <x:c r="D385" s="21" t="str">
        <x:v>PD</x:v>
      </x:c>
      <x:c r="E385" s="21" t="n">
        <x:v>20</x:v>
      </x:c>
      <x:c r="F385" s="21" t="n">
        <x:v>101</x:v>
      </x:c>
    </x:row>
    <x:row r="386">
      <x:c r="A386" s="20" t="str">
        <x:v>9-10|Male|PD|21</x:v>
      </x:c>
      <x:c r="B386" s="22" t="str">
        <x:v>9-10</x:v>
      </x:c>
      <x:c r="C386" s="22" t="str">
        <x:v>Male</x:v>
      </x:c>
      <x:c r="D386" s="22" t="str">
        <x:v>PD</x:v>
      </x:c>
      <x:c r="E386" s="22" t="n">
        <x:v>21</x:v>
      </x:c>
      <x:c r="F386" s="22" t="n">
        <x:v>104</x:v>
      </x:c>
    </x:row>
    <x:row r="387">
      <x:c r="A387" s="17" t="str">
        <x:v>9-10|Male|PD|22</x:v>
      </x:c>
      <x:c r="B387" s="21" t="str">
        <x:v>9-10</x:v>
      </x:c>
      <x:c r="C387" s="21" t="str">
        <x:v>Male</x:v>
      </x:c>
      <x:c r="D387" s="21" t="str">
        <x:v>PD</x:v>
      </x:c>
      <x:c r="E387" s="21" t="n">
        <x:v>22</x:v>
      </x:c>
      <x:c r="F387" s="21" t="n">
        <x:v>107</x:v>
      </x:c>
    </x:row>
    <x:row r="388">
      <x:c r="A388" s="20" t="str">
        <x:v>9-10|Male|PD|23</x:v>
      </x:c>
      <x:c r="B388" s="22" t="str">
        <x:v>9-10</x:v>
      </x:c>
      <x:c r="C388" s="22" t="str">
        <x:v>Male</x:v>
      </x:c>
      <x:c r="D388" s="22" t="str">
        <x:v>PD</x:v>
      </x:c>
      <x:c r="E388" s="22" t="n">
        <x:v>23</x:v>
      </x:c>
      <x:c r="F388" s="22" t="n">
        <x:v>110</x:v>
      </x:c>
    </x:row>
    <x:row r="389">
      <x:c r="A389" s="17" t="str">
        <x:v>9-10|Male|PD|24</x:v>
      </x:c>
      <x:c r="B389" s="21" t="str">
        <x:v>9-10</x:v>
      </x:c>
      <x:c r="C389" s="21" t="str">
        <x:v>Male</x:v>
      </x:c>
      <x:c r="D389" s="21" t="str">
        <x:v>PD</x:v>
      </x:c>
      <x:c r="E389" s="21" t="n">
        <x:v>24</x:v>
      </x:c>
      <x:c r="F389" s="21" t="n">
        <x:v>113</x:v>
      </x:c>
    </x:row>
    <x:row r="390">
      <x:c r="A390" s="20" t="str">
        <x:v>9-10|Male|PD|25</x:v>
      </x:c>
      <x:c r="B390" s="22" t="str">
        <x:v>9-10</x:v>
      </x:c>
      <x:c r="C390" s="22" t="str">
        <x:v>Male</x:v>
      </x:c>
      <x:c r="D390" s="22" t="str">
        <x:v>PD</x:v>
      </x:c>
      <x:c r="E390" s="22" t="n">
        <x:v>25</x:v>
      </x:c>
      <x:c r="F390" s="22" t="n">
        <x:v>116</x:v>
      </x:c>
    </x:row>
    <x:row r="391">
      <x:c r="A391" s="17" t="str">
        <x:v>9-10|Male|PD|26</x:v>
      </x:c>
      <x:c r="B391" s="21" t="str">
        <x:v>9-10</x:v>
      </x:c>
      <x:c r="C391" s="21" t="str">
        <x:v>Male</x:v>
      </x:c>
      <x:c r="D391" s="21" t="str">
        <x:v>PD</x:v>
      </x:c>
      <x:c r="E391" s="21" t="n">
        <x:v>26</x:v>
      </x:c>
      <x:c r="F391" s="21" t="n">
        <x:v>119</x:v>
      </x:c>
    </x:row>
    <x:row r="392">
      <x:c r="A392" s="20" t="str">
        <x:v>9-10|Male|PD|27</x:v>
      </x:c>
      <x:c r="B392" s="22" t="str">
        <x:v>9-10</x:v>
      </x:c>
      <x:c r="C392" s="22" t="str">
        <x:v>Male</x:v>
      </x:c>
      <x:c r="D392" s="22" t="str">
        <x:v>PD</x:v>
      </x:c>
      <x:c r="E392" s="22" t="n">
        <x:v>27</x:v>
      </x:c>
      <x:c r="F392" s="22" t="n">
        <x:v>122</x:v>
      </x:c>
    </x:row>
    <x:row r="393">
      <x:c r="A393" s="17" t="str">
        <x:v>9-10|Male|SAD|0</x:v>
      </x:c>
      <x:c r="B393" s="21" t="str">
        <x:v>9-10</x:v>
      </x:c>
      <x:c r="C393" s="21" t="str">
        <x:v>Male</x:v>
      </x:c>
      <x:c r="D393" s="21" t="str">
        <x:v>SAD</x:v>
      </x:c>
      <x:c r="E393" s="21" t="n">
        <x:v>0</x:v>
      </x:c>
      <x:c r="F393" s="21" t="n">
        <x:v>40</x:v>
      </x:c>
    </x:row>
    <x:row r="394">
      <x:c r="A394" s="20" t="str">
        <x:v>9-10|Male|SAD|1</x:v>
      </x:c>
      <x:c r="B394" s="22" t="str">
        <x:v>9-10</x:v>
      </x:c>
      <x:c r="C394" s="22" t="str">
        <x:v>Male</x:v>
      </x:c>
      <x:c r="D394" s="22" t="str">
        <x:v>SAD</x:v>
      </x:c>
      <x:c r="E394" s="22" t="n">
        <x:v>1</x:v>
      </x:c>
      <x:c r="F394" s="22" t="n">
        <x:v>44</x:v>
      </x:c>
    </x:row>
    <x:row r="395">
      <x:c r="A395" s="17" t="str">
        <x:v>9-10|Male|SAD|2</x:v>
      </x:c>
      <x:c r="B395" s="21" t="str">
        <x:v>9-10</x:v>
      </x:c>
      <x:c r="C395" s="21" t="str">
        <x:v>Male</x:v>
      </x:c>
      <x:c r="D395" s="21" t="str">
        <x:v>SAD</x:v>
      </x:c>
      <x:c r="E395" s="21" t="n">
        <x:v>2</x:v>
      </x:c>
      <x:c r="F395" s="21" t="n">
        <x:v>48</x:v>
      </x:c>
    </x:row>
    <x:row r="396">
      <x:c r="A396" s="20" t="str">
        <x:v>9-10|Male|SAD|3</x:v>
      </x:c>
      <x:c r="B396" s="22" t="str">
        <x:v>9-10</x:v>
      </x:c>
      <x:c r="C396" s="22" t="str">
        <x:v>Male</x:v>
      </x:c>
      <x:c r="D396" s="22" t="str">
        <x:v>SAD</x:v>
      </x:c>
      <x:c r="E396" s="22" t="n">
        <x:v>3</x:v>
      </x:c>
      <x:c r="F396" s="22" t="n">
        <x:v>52</x:v>
      </x:c>
    </x:row>
    <x:row r="397">
      <x:c r="A397" s="17" t="str">
        <x:v>9-10|Male|SAD|4</x:v>
      </x:c>
      <x:c r="B397" s="21" t="str">
        <x:v>9-10</x:v>
      </x:c>
      <x:c r="C397" s="21" t="str">
        <x:v>Male</x:v>
      </x:c>
      <x:c r="D397" s="21" t="str">
        <x:v>SAD</x:v>
      </x:c>
      <x:c r="E397" s="21" t="n">
        <x:v>4</x:v>
      </x:c>
      <x:c r="F397" s="21" t="n">
        <x:v>56</x:v>
      </x:c>
    </x:row>
    <x:row r="398">
      <x:c r="A398" s="20" t="str">
        <x:v>9-10|Male|SAD|5</x:v>
      </x:c>
      <x:c r="B398" s="22" t="str">
        <x:v>9-10</x:v>
      </x:c>
      <x:c r="C398" s="22" t="str">
        <x:v>Male</x:v>
      </x:c>
      <x:c r="D398" s="22" t="str">
        <x:v>SAD</x:v>
      </x:c>
      <x:c r="E398" s="22" t="n">
        <x:v>5</x:v>
      </x:c>
      <x:c r="F398" s="22" t="n">
        <x:v>60</x:v>
      </x:c>
    </x:row>
    <x:row r="399">
      <x:c r="A399" s="17" t="str">
        <x:v>9-10|Male|SAD|6</x:v>
      </x:c>
      <x:c r="B399" s="21" t="str">
        <x:v>9-10</x:v>
      </x:c>
      <x:c r="C399" s="21" t="str">
        <x:v>Male</x:v>
      </x:c>
      <x:c r="D399" s="21" t="str">
        <x:v>SAD</x:v>
      </x:c>
      <x:c r="E399" s="21" t="n">
        <x:v>6</x:v>
      </x:c>
      <x:c r="F399" s="21" t="n">
        <x:v>64</x:v>
      </x:c>
    </x:row>
    <x:row r="400">
      <x:c r="A400" s="20" t="str">
        <x:v>9-10|Male|SAD|7</x:v>
      </x:c>
      <x:c r="B400" s="22" t="str">
        <x:v>9-10</x:v>
      </x:c>
      <x:c r="C400" s="22" t="str">
        <x:v>Male</x:v>
      </x:c>
      <x:c r="D400" s="22" t="str">
        <x:v>SAD</x:v>
      </x:c>
      <x:c r="E400" s="22" t="n">
        <x:v>7</x:v>
      </x:c>
      <x:c r="F400" s="22" t="n">
        <x:v>68</x:v>
      </x:c>
    </x:row>
    <x:row r="401">
      <x:c r="A401" s="17" t="str">
        <x:v>9-10|Male|SAD|8</x:v>
      </x:c>
      <x:c r="B401" s="21" t="str">
        <x:v>9-10</x:v>
      </x:c>
      <x:c r="C401" s="21" t="str">
        <x:v>Male</x:v>
      </x:c>
      <x:c r="D401" s="21" t="str">
        <x:v>SAD</x:v>
      </x:c>
      <x:c r="E401" s="21" t="n">
        <x:v>8</x:v>
      </x:c>
      <x:c r="F401" s="21" t="n">
        <x:v>72</x:v>
      </x:c>
    </x:row>
    <x:row r="402">
      <x:c r="A402" s="20" t="str">
        <x:v>9-10|Male|SAD|9</x:v>
      </x:c>
      <x:c r="B402" s="22" t="str">
        <x:v>9-10</x:v>
      </x:c>
      <x:c r="C402" s="22" t="str">
        <x:v>Male</x:v>
      </x:c>
      <x:c r="D402" s="22" t="str">
        <x:v>SAD</x:v>
      </x:c>
      <x:c r="E402" s="22" t="n">
        <x:v>9</x:v>
      </x:c>
      <x:c r="F402" s="22" t="n">
        <x:v>76</x:v>
      </x:c>
    </x:row>
    <x:row r="403">
      <x:c r="A403" s="17" t="str">
        <x:v>9-10|Male|SAD|10</x:v>
      </x:c>
      <x:c r="B403" s="21" t="str">
        <x:v>9-10</x:v>
      </x:c>
      <x:c r="C403" s="21" t="str">
        <x:v>Male</x:v>
      </x:c>
      <x:c r="D403" s="21" t="str">
        <x:v>SAD</x:v>
      </x:c>
      <x:c r="E403" s="21" t="n">
        <x:v>10</x:v>
      </x:c>
      <x:c r="F403" s="21" t="n">
        <x:v>80</x:v>
      </x:c>
    </x:row>
    <x:row r="404">
      <x:c r="A404" s="20" t="str">
        <x:v>9-10|Male|SAD|11</x:v>
      </x:c>
      <x:c r="B404" s="22" t="str">
        <x:v>9-10</x:v>
      </x:c>
      <x:c r="C404" s="22" t="str">
        <x:v>Male</x:v>
      </x:c>
      <x:c r="D404" s="22" t="str">
        <x:v>SAD</x:v>
      </x:c>
      <x:c r="E404" s="22" t="n">
        <x:v>11</x:v>
      </x:c>
      <x:c r="F404" s="22" t="n">
        <x:v>85</x:v>
      </x:c>
    </x:row>
    <x:row r="405">
      <x:c r="A405" s="17" t="str">
        <x:v>9-10|Male|SAD|12</x:v>
      </x:c>
      <x:c r="B405" s="21" t="str">
        <x:v>9-10</x:v>
      </x:c>
      <x:c r="C405" s="21" t="str">
        <x:v>Male</x:v>
      </x:c>
      <x:c r="D405" s="21" t="str">
        <x:v>SAD</x:v>
      </x:c>
      <x:c r="E405" s="21" t="n">
        <x:v>12</x:v>
      </x:c>
      <x:c r="F405" s="21" t="n">
        <x:v>89</x:v>
      </x:c>
    </x:row>
    <x:row r="406">
      <x:c r="A406" s="20" t="str">
        <x:v>9-10|Male|SAD|13</x:v>
      </x:c>
      <x:c r="B406" s="22" t="str">
        <x:v>9-10</x:v>
      </x:c>
      <x:c r="C406" s="22" t="str">
        <x:v>Male</x:v>
      </x:c>
      <x:c r="D406" s="22" t="str">
        <x:v>SAD</x:v>
      </x:c>
      <x:c r="E406" s="22" t="n">
        <x:v>13</x:v>
      </x:c>
      <x:c r="F406" s="22" t="n">
        <x:v>93</x:v>
      </x:c>
    </x:row>
    <x:row r="407">
      <x:c r="A407" s="17" t="str">
        <x:v>9-10|Male|SAD|14</x:v>
      </x:c>
      <x:c r="B407" s="21" t="str">
        <x:v>9-10</x:v>
      </x:c>
      <x:c r="C407" s="21" t="str">
        <x:v>Male</x:v>
      </x:c>
      <x:c r="D407" s="21" t="str">
        <x:v>SAD</x:v>
      </x:c>
      <x:c r="E407" s="21" t="n">
        <x:v>14</x:v>
      </x:c>
      <x:c r="F407" s="21" t="n">
        <x:v>97</x:v>
      </x:c>
    </x:row>
    <x:row r="408">
      <x:c r="A408" s="20" t="str">
        <x:v>9-10|Male|SAD|15</x:v>
      </x:c>
      <x:c r="B408" s="22" t="str">
        <x:v>9-10</x:v>
      </x:c>
      <x:c r="C408" s="22" t="str">
        <x:v>Male</x:v>
      </x:c>
      <x:c r="D408" s="22" t="str">
        <x:v>SAD</x:v>
      </x:c>
      <x:c r="E408" s="22" t="n">
        <x:v>15</x:v>
      </x:c>
      <x:c r="F408" s="22" t="n">
        <x:v>101</x:v>
      </x:c>
    </x:row>
    <x:row r="409">
      <x:c r="A409" s="17" t="str">
        <x:v>9-10|Male|SAD|16</x:v>
      </x:c>
      <x:c r="B409" s="21" t="str">
        <x:v>9-10</x:v>
      </x:c>
      <x:c r="C409" s="21" t="str">
        <x:v>Male</x:v>
      </x:c>
      <x:c r="D409" s="21" t="str">
        <x:v>SAD</x:v>
      </x:c>
      <x:c r="E409" s="21" t="n">
        <x:v>16</x:v>
      </x:c>
      <x:c r="F409" s="21" t="n">
        <x:v>105</x:v>
      </x:c>
    </x:row>
    <x:row r="410">
      <x:c r="A410" s="20" t="str">
        <x:v>9-10|Male|SAD|17</x:v>
      </x:c>
      <x:c r="B410" s="22" t="str">
        <x:v>9-10</x:v>
      </x:c>
      <x:c r="C410" s="22" t="str">
        <x:v>Male</x:v>
      </x:c>
      <x:c r="D410" s="22" t="str">
        <x:v>SAD</x:v>
      </x:c>
      <x:c r="E410" s="22" t="n">
        <x:v>17</x:v>
      </x:c>
      <x:c r="F410" s="22" t="n">
        <x:v>109</x:v>
      </x:c>
    </x:row>
    <x:row r="411">
      <x:c r="A411" s="17" t="str">
        <x:v>9-10|Male|SAD|18</x:v>
      </x:c>
      <x:c r="B411" s="21" t="str">
        <x:v>9-10</x:v>
      </x:c>
      <x:c r="C411" s="21" t="str">
        <x:v>Male</x:v>
      </x:c>
      <x:c r="D411" s="21" t="str">
        <x:v>SAD</x:v>
      </x:c>
      <x:c r="E411" s="21" t="n">
        <x:v>18</x:v>
      </x:c>
      <x:c r="F411" s="21" t="n">
        <x:v>113</x:v>
      </x:c>
    </x:row>
    <x:row r="412">
      <x:c r="A412" s="20" t="str">
        <x:v>9-10|Male|SAD|19</x:v>
      </x:c>
      <x:c r="B412" s="22" t="str">
        <x:v>9-10</x:v>
      </x:c>
      <x:c r="C412" s="22" t="str">
        <x:v>Male</x:v>
      </x:c>
      <x:c r="D412" s="22" t="str">
        <x:v>SAD</x:v>
      </x:c>
      <x:c r="E412" s="22" t="n">
        <x:v>19</x:v>
      </x:c>
      <x:c r="F412" s="22" t="n">
        <x:v>117</x:v>
      </x:c>
    </x:row>
    <x:row r="413">
      <x:c r="A413" s="17" t="str">
        <x:v>9-10|Male|SAD|20</x:v>
      </x:c>
      <x:c r="B413" s="21" t="str">
        <x:v>9-10</x:v>
      </x:c>
      <x:c r="C413" s="21" t="str">
        <x:v>Male</x:v>
      </x:c>
      <x:c r="D413" s="21" t="str">
        <x:v>SAD</x:v>
      </x:c>
      <x:c r="E413" s="21" t="n">
        <x:v>20</x:v>
      </x:c>
      <x:c r="F413" s="21" t="n">
        <x:v>121</x:v>
      </x:c>
    </x:row>
    <x:row r="414">
      <x:c r="A414" s="20" t="str">
        <x:v>9-10|Male|SAD|21</x:v>
      </x:c>
      <x:c r="B414" s="22" t="str">
        <x:v>9-10</x:v>
      </x:c>
      <x:c r="C414" s="22" t="str">
        <x:v>Male</x:v>
      </x:c>
      <x:c r="D414" s="22" t="str">
        <x:v>SAD</x:v>
      </x:c>
      <x:c r="E414" s="22" t="n">
        <x:v>21</x:v>
      </x:c>
      <x:c r="F414" s="22" t="n">
        <x:v>125</x:v>
      </x:c>
    </x:row>
    <x:row r="415">
      <x:c r="A415" s="17" t="str">
        <x:v>9-10|Male|SP|0</x:v>
      </x:c>
      <x:c r="B415" s="21" t="str">
        <x:v>9-10</x:v>
      </x:c>
      <x:c r="C415" s="21" t="str">
        <x:v>Male</x:v>
      </x:c>
      <x:c r="D415" s="21" t="str">
        <x:v>SP</x:v>
      </x:c>
      <x:c r="E415" s="21" t="n">
        <x:v>0</x:v>
      </x:c>
      <x:c r="F415" s="21" t="n">
        <x:v>25</x:v>
      </x:c>
    </x:row>
    <x:row r="416">
      <x:c r="A416" s="20" t="str">
        <x:v>9-10|Male|SP|1</x:v>
      </x:c>
      <x:c r="B416" s="22" t="str">
        <x:v>9-10</x:v>
      </x:c>
      <x:c r="C416" s="22" t="str">
        <x:v>Male</x:v>
      </x:c>
      <x:c r="D416" s="22" t="str">
        <x:v>SP</x:v>
      </x:c>
      <x:c r="E416" s="22" t="n">
        <x:v>1</x:v>
      </x:c>
      <x:c r="F416" s="22" t="n">
        <x:v>27</x:v>
      </x:c>
    </x:row>
    <x:row r="417">
      <x:c r="A417" s="17" t="str">
        <x:v>9-10|Male|SP|2</x:v>
      </x:c>
      <x:c r="B417" s="21" t="str">
        <x:v>9-10</x:v>
      </x:c>
      <x:c r="C417" s="21" t="str">
        <x:v>Male</x:v>
      </x:c>
      <x:c r="D417" s="21" t="str">
        <x:v>SP</x:v>
      </x:c>
      <x:c r="E417" s="21" t="n">
        <x:v>2</x:v>
      </x:c>
      <x:c r="F417" s="21" t="n">
        <x:v>30</x:v>
      </x:c>
    </x:row>
    <x:row r="418">
      <x:c r="A418" s="20" t="str">
        <x:v>9-10|Male|SP|3</x:v>
      </x:c>
      <x:c r="B418" s="22" t="str">
        <x:v>9-10</x:v>
      </x:c>
      <x:c r="C418" s="22" t="str">
        <x:v>Male</x:v>
      </x:c>
      <x:c r="D418" s="22" t="str">
        <x:v>SP</x:v>
      </x:c>
      <x:c r="E418" s="22" t="n">
        <x:v>3</x:v>
      </x:c>
      <x:c r="F418" s="22" t="n">
        <x:v>32</x:v>
      </x:c>
    </x:row>
    <x:row r="419">
      <x:c r="A419" s="17" t="str">
        <x:v>9-10|Male|SP|4</x:v>
      </x:c>
      <x:c r="B419" s="21" t="str">
        <x:v>9-10</x:v>
      </x:c>
      <x:c r="C419" s="21" t="str">
        <x:v>Male</x:v>
      </x:c>
      <x:c r="D419" s="21" t="str">
        <x:v>SP</x:v>
      </x:c>
      <x:c r="E419" s="21" t="n">
        <x:v>4</x:v>
      </x:c>
      <x:c r="F419" s="21" t="n">
        <x:v>34</x:v>
      </x:c>
    </x:row>
    <x:row r="420">
      <x:c r="A420" s="20" t="str">
        <x:v>9-10|Male|SP|5</x:v>
      </x:c>
      <x:c r="B420" s="22" t="str">
        <x:v>9-10</x:v>
      </x:c>
      <x:c r="C420" s="22" t="str">
        <x:v>Male</x:v>
      </x:c>
      <x:c r="D420" s="22" t="str">
        <x:v>SP</x:v>
      </x:c>
      <x:c r="E420" s="22" t="n">
        <x:v>5</x:v>
      </x:c>
      <x:c r="F420" s="22" t="n">
        <x:v>36</x:v>
      </x:c>
    </x:row>
    <x:row r="421">
      <x:c r="A421" s="17" t="str">
        <x:v>9-10|Male|SP|6</x:v>
      </x:c>
      <x:c r="B421" s="21" t="str">
        <x:v>9-10</x:v>
      </x:c>
      <x:c r="C421" s="21" t="str">
        <x:v>Male</x:v>
      </x:c>
      <x:c r="D421" s="21" t="str">
        <x:v>SP</x:v>
      </x:c>
      <x:c r="E421" s="21" t="n">
        <x:v>6</x:v>
      </x:c>
      <x:c r="F421" s="21" t="n">
        <x:v>38</x:v>
      </x:c>
    </x:row>
    <x:row r="422">
      <x:c r="A422" s="20" t="str">
        <x:v>9-10|Male|SP|7</x:v>
      </x:c>
      <x:c r="B422" s="22" t="str">
        <x:v>9-10</x:v>
      </x:c>
      <x:c r="C422" s="22" t="str">
        <x:v>Male</x:v>
      </x:c>
      <x:c r="D422" s="22" t="str">
        <x:v>SP</x:v>
      </x:c>
      <x:c r="E422" s="22" t="n">
        <x:v>7</x:v>
      </x:c>
      <x:c r="F422" s="22" t="n">
        <x:v>40</x:v>
      </x:c>
    </x:row>
    <x:row r="423">
      <x:c r="A423" s="17" t="str">
        <x:v>9-10|Male|SP|8</x:v>
      </x:c>
      <x:c r="B423" s="21" t="str">
        <x:v>9-10</x:v>
      </x:c>
      <x:c r="C423" s="21" t="str">
        <x:v>Male</x:v>
      </x:c>
      <x:c r="D423" s="21" t="str">
        <x:v>SP</x:v>
      </x:c>
      <x:c r="E423" s="21" t="n">
        <x:v>8</x:v>
      </x:c>
      <x:c r="F423" s="21" t="n">
        <x:v>42</x:v>
      </x:c>
    </x:row>
    <x:row r="424">
      <x:c r="A424" s="20" t="str">
        <x:v>9-10|Male|SP|9</x:v>
      </x:c>
      <x:c r="B424" s="22" t="str">
        <x:v>9-10</x:v>
      </x:c>
      <x:c r="C424" s="22" t="str">
        <x:v>Male</x:v>
      </x:c>
      <x:c r="D424" s="22" t="str">
        <x:v>SP</x:v>
      </x:c>
      <x:c r="E424" s="22" t="n">
        <x:v>9</x:v>
      </x:c>
      <x:c r="F424" s="22" t="n">
        <x:v>44</x:v>
      </x:c>
    </x:row>
    <x:row r="425">
      <x:c r="A425" s="17" t="str">
        <x:v>9-10|Male|SP|10</x:v>
      </x:c>
      <x:c r="B425" s="21" t="str">
        <x:v>9-10</x:v>
      </x:c>
      <x:c r="C425" s="21" t="str">
        <x:v>Male</x:v>
      </x:c>
      <x:c r="D425" s="21" t="str">
        <x:v>SP</x:v>
      </x:c>
      <x:c r="E425" s="21" t="n">
        <x:v>10</x:v>
      </x:c>
      <x:c r="F425" s="21" t="n">
        <x:v>46</x:v>
      </x:c>
    </x:row>
    <x:row r="426">
      <x:c r="A426" s="20" t="str">
        <x:v>9-10|Male|SP|11</x:v>
      </x:c>
      <x:c r="B426" s="22" t="str">
        <x:v>9-10</x:v>
      </x:c>
      <x:c r="C426" s="22" t="str">
        <x:v>Male</x:v>
      </x:c>
      <x:c r="D426" s="22" t="str">
        <x:v>SP</x:v>
      </x:c>
      <x:c r="E426" s="22" t="n">
        <x:v>11</x:v>
      </x:c>
      <x:c r="F426" s="22" t="n">
        <x:v>49</x:v>
      </x:c>
    </x:row>
    <x:row r="427">
      <x:c r="A427" s="17" t="str">
        <x:v>9-10|Male|SP|12</x:v>
      </x:c>
      <x:c r="B427" s="21" t="str">
        <x:v>9-10</x:v>
      </x:c>
      <x:c r="C427" s="21" t="str">
        <x:v>Male</x:v>
      </x:c>
      <x:c r="D427" s="21" t="str">
        <x:v>SP</x:v>
      </x:c>
      <x:c r="E427" s="21" t="n">
        <x:v>12</x:v>
      </x:c>
      <x:c r="F427" s="21" t="n">
        <x:v>51</x:v>
      </x:c>
    </x:row>
    <x:row r="428">
      <x:c r="A428" s="20" t="str">
        <x:v>9-10|Male|SP|13</x:v>
      </x:c>
      <x:c r="B428" s="22" t="str">
        <x:v>9-10</x:v>
      </x:c>
      <x:c r="C428" s="22" t="str">
        <x:v>Male</x:v>
      </x:c>
      <x:c r="D428" s="22" t="str">
        <x:v>SP</x:v>
      </x:c>
      <x:c r="E428" s="22" t="n">
        <x:v>13</x:v>
      </x:c>
      <x:c r="F428" s="22" t="n">
        <x:v>53</x:v>
      </x:c>
    </x:row>
    <x:row r="429">
      <x:c r="A429" s="17" t="str">
        <x:v>9-10|Male|SP|14</x:v>
      </x:c>
      <x:c r="B429" s="21" t="str">
        <x:v>9-10</x:v>
      </x:c>
      <x:c r="C429" s="21" t="str">
        <x:v>Male</x:v>
      </x:c>
      <x:c r="D429" s="21" t="str">
        <x:v>SP</x:v>
      </x:c>
      <x:c r="E429" s="21" t="n">
        <x:v>14</x:v>
      </x:c>
      <x:c r="F429" s="21" t="n">
        <x:v>55</x:v>
      </x:c>
    </x:row>
    <x:row r="430">
      <x:c r="A430" s="20" t="str">
        <x:v>9-10|Male|SP|15</x:v>
      </x:c>
      <x:c r="B430" s="22" t="str">
        <x:v>9-10</x:v>
      </x:c>
      <x:c r="C430" s="22" t="str">
        <x:v>Male</x:v>
      </x:c>
      <x:c r="D430" s="22" t="str">
        <x:v>SP</x:v>
      </x:c>
      <x:c r="E430" s="22" t="n">
        <x:v>15</x:v>
      </x:c>
      <x:c r="F430" s="22" t="n">
        <x:v>57</x:v>
      </x:c>
    </x:row>
    <x:row r="431">
      <x:c r="A431" s="17" t="str">
        <x:v>9-10|Male|SP|16</x:v>
      </x:c>
      <x:c r="B431" s="21" t="str">
        <x:v>9-10</x:v>
      </x:c>
      <x:c r="C431" s="21" t="str">
        <x:v>Male</x:v>
      </x:c>
      <x:c r="D431" s="21" t="str">
        <x:v>SP</x:v>
      </x:c>
      <x:c r="E431" s="21" t="n">
        <x:v>16</x:v>
      </x:c>
      <x:c r="F431" s="21" t="n">
        <x:v>59</x:v>
      </x:c>
    </x:row>
    <x:row r="432">
      <x:c r="A432" s="20" t="str">
        <x:v>9-10|Male|SP|17</x:v>
      </x:c>
      <x:c r="B432" s="22" t="str">
        <x:v>9-10</x:v>
      </x:c>
      <x:c r="C432" s="22" t="str">
        <x:v>Male</x:v>
      </x:c>
      <x:c r="D432" s="22" t="str">
        <x:v>SP</x:v>
      </x:c>
      <x:c r="E432" s="22" t="n">
        <x:v>17</x:v>
      </x:c>
      <x:c r="F432" s="22" t="n">
        <x:v>61</x:v>
      </x:c>
    </x:row>
    <x:row r="433">
      <x:c r="A433" s="17" t="str">
        <x:v>9-10|Male|SP|18</x:v>
      </x:c>
      <x:c r="B433" s="21" t="str">
        <x:v>9-10</x:v>
      </x:c>
      <x:c r="C433" s="21" t="str">
        <x:v>Male</x:v>
      </x:c>
      <x:c r="D433" s="21" t="str">
        <x:v>SP</x:v>
      </x:c>
      <x:c r="E433" s="21" t="n">
        <x:v>18</x:v>
      </x:c>
      <x:c r="F433" s="21" t="n">
        <x:v>63</x:v>
      </x:c>
    </x:row>
    <x:row r="434">
      <x:c r="A434" s="20" t="str">
        <x:v>9-10|Male|SP|19</x:v>
      </x:c>
      <x:c r="B434" s="22" t="str">
        <x:v>9-10</x:v>
      </x:c>
      <x:c r="C434" s="22" t="str">
        <x:v>Male</x:v>
      </x:c>
      <x:c r="D434" s="22" t="str">
        <x:v>SP</x:v>
      </x:c>
      <x:c r="E434" s="22" t="n">
        <x:v>19</x:v>
      </x:c>
      <x:c r="F434" s="22" t="n">
        <x:v>65</x:v>
      </x:c>
    </x:row>
    <x:row r="435">
      <x:c r="A435" s="17" t="str">
        <x:v>9-10|Male|SP|20</x:v>
      </x:c>
      <x:c r="B435" s="21" t="str">
        <x:v>9-10</x:v>
      </x:c>
      <x:c r="C435" s="21" t="str">
        <x:v>Male</x:v>
      </x:c>
      <x:c r="D435" s="21" t="str">
        <x:v>SP</x:v>
      </x:c>
      <x:c r="E435" s="21" t="n">
        <x:v>20</x:v>
      </x:c>
      <x:c r="F435" s="21" t="n">
        <x:v>68</x:v>
      </x:c>
    </x:row>
    <x:row r="436">
      <x:c r="A436" s="20" t="str">
        <x:v>9-10|Male|SP|21</x:v>
      </x:c>
      <x:c r="B436" s="22" t="str">
        <x:v>9-10</x:v>
      </x:c>
      <x:c r="C436" s="22" t="str">
        <x:v>Male</x:v>
      </x:c>
      <x:c r="D436" s="22" t="str">
        <x:v>SP</x:v>
      </x:c>
      <x:c r="E436" s="22" t="n">
        <x:v>21</x:v>
      </x:c>
      <x:c r="F436" s="22" t="n">
        <x:v>70</x:v>
      </x:c>
    </x:row>
    <x:row r="437">
      <x:c r="A437" s="17" t="str">
        <x:v>9-10|Male|SP|22</x:v>
      </x:c>
      <x:c r="B437" s="21" t="str">
        <x:v>9-10</x:v>
      </x:c>
      <x:c r="C437" s="21" t="str">
        <x:v>Male</x:v>
      </x:c>
      <x:c r="D437" s="21" t="str">
        <x:v>SP</x:v>
      </x:c>
      <x:c r="E437" s="21" t="n">
        <x:v>22</x:v>
      </x:c>
      <x:c r="F437" s="21" t="n">
        <x:v>72</x:v>
      </x:c>
    </x:row>
    <x:row r="438">
      <x:c r="A438" s="20" t="str">
        <x:v>9-10|Male|SP|23</x:v>
      </x:c>
      <x:c r="B438" s="22" t="str">
        <x:v>9-10</x:v>
      </x:c>
      <x:c r="C438" s="22" t="str">
        <x:v>Male</x:v>
      </x:c>
      <x:c r="D438" s="22" t="str">
        <x:v>SP</x:v>
      </x:c>
      <x:c r="E438" s="22" t="n">
        <x:v>23</x:v>
      </x:c>
      <x:c r="F438" s="22" t="n">
        <x:v>74</x:v>
      </x:c>
    </x:row>
    <x:row r="439">
      <x:c r="A439" s="17" t="str">
        <x:v>9-10|Male|SP|24</x:v>
      </x:c>
      <x:c r="B439" s="21" t="str">
        <x:v>9-10</x:v>
      </x:c>
      <x:c r="C439" s="21" t="str">
        <x:v>Male</x:v>
      </x:c>
      <x:c r="D439" s="21" t="str">
        <x:v>SP</x:v>
      </x:c>
      <x:c r="E439" s="21" t="n">
        <x:v>24</x:v>
      </x:c>
      <x:c r="F439" s="21" t="n">
        <x:v>76</x:v>
      </x:c>
    </x:row>
    <x:row r="440">
      <x:c r="A440" s="20" t="str">
        <x:v>9-10|Male|SP|25</x:v>
      </x:c>
      <x:c r="B440" s="22" t="str">
        <x:v>9-10</x:v>
      </x:c>
      <x:c r="C440" s="22" t="str">
        <x:v>Male</x:v>
      </x:c>
      <x:c r="D440" s="22" t="str">
        <x:v>SP</x:v>
      </x:c>
      <x:c r="E440" s="22" t="n">
        <x:v>25</x:v>
      </x:c>
      <x:c r="F440" s="22" t="n">
        <x:v>78</x:v>
      </x:c>
    </x:row>
    <x:row r="441">
      <x:c r="A441" s="17" t="str">
        <x:v>9-10|Male|SP|26</x:v>
      </x:c>
      <x:c r="B441" s="21" t="str">
        <x:v>9-10</x:v>
      </x:c>
      <x:c r="C441" s="21" t="str">
        <x:v>Male</x:v>
      </x:c>
      <x:c r="D441" s="21" t="str">
        <x:v>SP</x:v>
      </x:c>
      <x:c r="E441" s="21" t="n">
        <x:v>26</x:v>
      </x:c>
      <x:c r="F441" s="21" t="n">
        <x:v>80</x:v>
      </x:c>
    </x:row>
    <x:row r="442">
      <x:c r="A442" s="20" t="str">
        <x:v>9-10|Male|SP|27</x:v>
      </x:c>
      <x:c r="B442" s="22" t="str">
        <x:v>9-10</x:v>
      </x:c>
      <x:c r="C442" s="22" t="str">
        <x:v>Male</x:v>
      </x:c>
      <x:c r="D442" s="22" t="str">
        <x:v>SP</x:v>
      </x:c>
      <x:c r="E442" s="22" t="n">
        <x:v>27</x:v>
      </x:c>
      <x:c r="F442" s="22" t="n">
        <x:v>82</x:v>
      </x:c>
    </x:row>
    <x:row r="443">
      <x:c r="A443" s="17" t="str">
        <x:v>9-10|Female|MDD|0</x:v>
      </x:c>
      <x:c r="B443" s="21" t="str">
        <x:v>9-10</x:v>
      </x:c>
      <x:c r="C443" s="21" t="str">
        <x:v>Female</x:v>
      </x:c>
      <x:c r="D443" s="21" t="str">
        <x:v>MDD</x:v>
      </x:c>
      <x:c r="E443" s="21" t="n">
        <x:v>0</x:v>
      </x:c>
      <x:c r="F443" s="21" t="n">
        <x:v>29</x:v>
      </x:c>
    </x:row>
    <x:row r="444">
      <x:c r="A444" s="20" t="str">
        <x:v>9-10|Female|MDD|1</x:v>
      </x:c>
      <x:c r="B444" s="22" t="str">
        <x:v>9-10</x:v>
      </x:c>
      <x:c r="C444" s="22" t="str">
        <x:v>Female</x:v>
      </x:c>
      <x:c r="D444" s="22" t="str">
        <x:v>MDD</x:v>
      </x:c>
      <x:c r="E444" s="22" t="n">
        <x:v>1</x:v>
      </x:c>
      <x:c r="F444" s="22" t="n">
        <x:v>32</x:v>
      </x:c>
    </x:row>
    <x:row r="445">
      <x:c r="A445" s="17" t="str">
        <x:v>9-10|Female|MDD|2</x:v>
      </x:c>
      <x:c r="B445" s="21" t="str">
        <x:v>9-10</x:v>
      </x:c>
      <x:c r="C445" s="21" t="str">
        <x:v>Female</x:v>
      </x:c>
      <x:c r="D445" s="21" t="str">
        <x:v>MDD</x:v>
      </x:c>
      <x:c r="E445" s="21" t="n">
        <x:v>2</x:v>
      </x:c>
      <x:c r="F445" s="21" t="n">
        <x:v>35</x:v>
      </x:c>
    </x:row>
    <x:row r="446">
      <x:c r="A446" s="20" t="str">
        <x:v>9-10|Female|MDD|3</x:v>
      </x:c>
      <x:c r="B446" s="22" t="str">
        <x:v>9-10</x:v>
      </x:c>
      <x:c r="C446" s="22" t="str">
        <x:v>Female</x:v>
      </x:c>
      <x:c r="D446" s="22" t="str">
        <x:v>MDD</x:v>
      </x:c>
      <x:c r="E446" s="22" t="n">
        <x:v>3</x:v>
      </x:c>
      <x:c r="F446" s="22" t="n">
        <x:v>37</x:v>
      </x:c>
    </x:row>
    <x:row r="447">
      <x:c r="A447" s="17" t="str">
        <x:v>9-10|Female|MDD|4</x:v>
      </x:c>
      <x:c r="B447" s="21" t="str">
        <x:v>9-10</x:v>
      </x:c>
      <x:c r="C447" s="21" t="str">
        <x:v>Female</x:v>
      </x:c>
      <x:c r="D447" s="21" t="str">
        <x:v>MDD</x:v>
      </x:c>
      <x:c r="E447" s="21" t="n">
        <x:v>4</x:v>
      </x:c>
      <x:c r="F447" s="21" t="n">
        <x:v>40</x:v>
      </x:c>
    </x:row>
    <x:row r="448">
      <x:c r="A448" s="20" t="str">
        <x:v>9-10|Female|MDD|5</x:v>
      </x:c>
      <x:c r="B448" s="22" t="str">
        <x:v>9-10</x:v>
      </x:c>
      <x:c r="C448" s="22" t="str">
        <x:v>Female</x:v>
      </x:c>
      <x:c r="D448" s="22" t="str">
        <x:v>MDD</x:v>
      </x:c>
      <x:c r="E448" s="22" t="n">
        <x:v>5</x:v>
      </x:c>
      <x:c r="F448" s="22" t="n">
        <x:v>43</x:v>
      </x:c>
    </x:row>
    <x:row r="449">
      <x:c r="A449" s="17" t="str">
        <x:v>9-10|Female|MDD|6</x:v>
      </x:c>
      <x:c r="B449" s="21" t="str">
        <x:v>9-10</x:v>
      </x:c>
      <x:c r="C449" s="21" t="str">
        <x:v>Female</x:v>
      </x:c>
      <x:c r="D449" s="21" t="str">
        <x:v>MDD</x:v>
      </x:c>
      <x:c r="E449" s="21" t="n">
        <x:v>6</x:v>
      </x:c>
      <x:c r="F449" s="21" t="n">
        <x:v>46</x:v>
      </x:c>
    </x:row>
    <x:row r="450">
      <x:c r="A450" s="20" t="str">
        <x:v>9-10|Female|MDD|7</x:v>
      </x:c>
      <x:c r="B450" s="22" t="str">
        <x:v>9-10</x:v>
      </x:c>
      <x:c r="C450" s="22" t="str">
        <x:v>Female</x:v>
      </x:c>
      <x:c r="D450" s="22" t="str">
        <x:v>MDD</x:v>
      </x:c>
      <x:c r="E450" s="22" t="n">
        <x:v>7</x:v>
      </x:c>
      <x:c r="F450" s="22" t="n">
        <x:v>48</x:v>
      </x:c>
    </x:row>
    <x:row r="451">
      <x:c r="A451" s="17" t="str">
        <x:v>9-10|Female|MDD|8</x:v>
      </x:c>
      <x:c r="B451" s="21" t="str">
        <x:v>9-10</x:v>
      </x:c>
      <x:c r="C451" s="21" t="str">
        <x:v>Female</x:v>
      </x:c>
      <x:c r="D451" s="21" t="str">
        <x:v>MDD</x:v>
      </x:c>
      <x:c r="E451" s="21" t="n">
        <x:v>8</x:v>
      </x:c>
      <x:c r="F451" s="21" t="n">
        <x:v>51</x:v>
      </x:c>
    </x:row>
    <x:row r="452">
      <x:c r="A452" s="20" t="str">
        <x:v>9-10|Female|MDD|9</x:v>
      </x:c>
      <x:c r="B452" s="22" t="str">
        <x:v>9-10</x:v>
      </x:c>
      <x:c r="C452" s="22" t="str">
        <x:v>Female</x:v>
      </x:c>
      <x:c r="D452" s="22" t="str">
        <x:v>MDD</x:v>
      </x:c>
      <x:c r="E452" s="22" t="n">
        <x:v>9</x:v>
      </x:c>
      <x:c r="F452" s="22" t="n">
        <x:v>54</x:v>
      </x:c>
    </x:row>
    <x:row r="453">
      <x:c r="A453" s="17" t="str">
        <x:v>9-10|Female|MDD|10</x:v>
      </x:c>
      <x:c r="B453" s="21" t="str">
        <x:v>9-10</x:v>
      </x:c>
      <x:c r="C453" s="21" t="str">
        <x:v>Female</x:v>
      </x:c>
      <x:c r="D453" s="21" t="str">
        <x:v>MDD</x:v>
      </x:c>
      <x:c r="E453" s="21" t="n">
        <x:v>10</x:v>
      </x:c>
      <x:c r="F453" s="21" t="n">
        <x:v>56</x:v>
      </x:c>
    </x:row>
    <x:row r="454">
      <x:c r="A454" s="20" t="str">
        <x:v>9-10|Female|MDD|11</x:v>
      </x:c>
      <x:c r="B454" s="22" t="str">
        <x:v>9-10</x:v>
      </x:c>
      <x:c r="C454" s="22" t="str">
        <x:v>Female</x:v>
      </x:c>
      <x:c r="D454" s="22" t="str">
        <x:v>MDD</x:v>
      </x:c>
      <x:c r="E454" s="22" t="n">
        <x:v>11</x:v>
      </x:c>
      <x:c r="F454" s="22" t="n">
        <x:v>59</x:v>
      </x:c>
    </x:row>
    <x:row r="455">
      <x:c r="A455" s="17" t="str">
        <x:v>9-10|Female|MDD|12</x:v>
      </x:c>
      <x:c r="B455" s="21" t="str">
        <x:v>9-10</x:v>
      </x:c>
      <x:c r="C455" s="21" t="str">
        <x:v>Female</x:v>
      </x:c>
      <x:c r="D455" s="21" t="str">
        <x:v>MDD</x:v>
      </x:c>
      <x:c r="E455" s="21" t="n">
        <x:v>12</x:v>
      </x:c>
      <x:c r="F455" s="21" t="n">
        <x:v>62</x:v>
      </x:c>
    </x:row>
    <x:row r="456">
      <x:c r="A456" s="20" t="str">
        <x:v>9-10|Female|MDD|13</x:v>
      </x:c>
      <x:c r="B456" s="22" t="str">
        <x:v>9-10</x:v>
      </x:c>
      <x:c r="C456" s="22" t="str">
        <x:v>Female</x:v>
      </x:c>
      <x:c r="D456" s="22" t="str">
        <x:v>MDD</x:v>
      </x:c>
      <x:c r="E456" s="22" t="n">
        <x:v>13</x:v>
      </x:c>
      <x:c r="F456" s="22" t="n">
        <x:v>65</x:v>
      </x:c>
    </x:row>
    <x:row r="457">
      <x:c r="A457" s="17" t="str">
        <x:v>9-10|Female|MDD|14</x:v>
      </x:c>
      <x:c r="B457" s="21" t="str">
        <x:v>9-10</x:v>
      </x:c>
      <x:c r="C457" s="21" t="str">
        <x:v>Female</x:v>
      </x:c>
      <x:c r="D457" s="21" t="str">
        <x:v>MDD</x:v>
      </x:c>
      <x:c r="E457" s="21" t="n">
        <x:v>14</x:v>
      </x:c>
      <x:c r="F457" s="21" t="n">
        <x:v>67</x:v>
      </x:c>
    </x:row>
    <x:row r="458">
      <x:c r="A458" s="20" t="str">
        <x:v>9-10|Female|MDD|15</x:v>
      </x:c>
      <x:c r="B458" s="22" t="str">
        <x:v>9-10</x:v>
      </x:c>
      <x:c r="C458" s="22" t="str">
        <x:v>Female</x:v>
      </x:c>
      <x:c r="D458" s="22" t="str">
        <x:v>MDD</x:v>
      </x:c>
      <x:c r="E458" s="22" t="n">
        <x:v>15</x:v>
      </x:c>
      <x:c r="F458" s="22" t="n">
        <x:v>70</x:v>
      </x:c>
    </x:row>
    <x:row r="459">
      <x:c r="A459" s="17" t="str">
        <x:v>9-10|Female|MDD|16</x:v>
      </x:c>
      <x:c r="B459" s="21" t="str">
        <x:v>9-10</x:v>
      </x:c>
      <x:c r="C459" s="21" t="str">
        <x:v>Female</x:v>
      </x:c>
      <x:c r="D459" s="21" t="str">
        <x:v>MDD</x:v>
      </x:c>
      <x:c r="E459" s="21" t="n">
        <x:v>16</x:v>
      </x:c>
      <x:c r="F459" s="21" t="n">
        <x:v>73</x:v>
      </x:c>
    </x:row>
    <x:row r="460">
      <x:c r="A460" s="20" t="str">
        <x:v>9-10|Female|MDD|17</x:v>
      </x:c>
      <x:c r="B460" s="22" t="str">
        <x:v>9-10</x:v>
      </x:c>
      <x:c r="C460" s="22" t="str">
        <x:v>Female</x:v>
      </x:c>
      <x:c r="D460" s="22" t="str">
        <x:v>MDD</x:v>
      </x:c>
      <x:c r="E460" s="22" t="n">
        <x:v>17</x:v>
      </x:c>
      <x:c r="F460" s="22" t="n">
        <x:v>75</x:v>
      </x:c>
    </x:row>
    <x:row r="461">
      <x:c r="A461" s="17" t="str">
        <x:v>9-10|Female|MDD|18</x:v>
      </x:c>
      <x:c r="B461" s="21" t="str">
        <x:v>9-10</x:v>
      </x:c>
      <x:c r="C461" s="21" t="str">
        <x:v>Female</x:v>
      </x:c>
      <x:c r="D461" s="21" t="str">
        <x:v>MDD</x:v>
      </x:c>
      <x:c r="E461" s="21" t="n">
        <x:v>18</x:v>
      </x:c>
      <x:c r="F461" s="21" t="n">
        <x:v>78</x:v>
      </x:c>
    </x:row>
    <x:row r="462">
      <x:c r="A462" s="20" t="str">
        <x:v>9-10|Female|MDD|19</x:v>
      </x:c>
      <x:c r="B462" s="22" t="str">
        <x:v>9-10</x:v>
      </x:c>
      <x:c r="C462" s="22" t="str">
        <x:v>Female</x:v>
      </x:c>
      <x:c r="D462" s="22" t="str">
        <x:v>MDD</x:v>
      </x:c>
      <x:c r="E462" s="22" t="n">
        <x:v>19</x:v>
      </x:c>
      <x:c r="F462" s="22" t="n">
        <x:v>81</x:v>
      </x:c>
    </x:row>
    <x:row r="463">
      <x:c r="A463" s="17" t="str">
        <x:v>9-10|Female|MDD|20</x:v>
      </x:c>
      <x:c r="B463" s="21" t="str">
        <x:v>9-10</x:v>
      </x:c>
      <x:c r="C463" s="21" t="str">
        <x:v>Female</x:v>
      </x:c>
      <x:c r="D463" s="21" t="str">
        <x:v>MDD</x:v>
      </x:c>
      <x:c r="E463" s="21" t="n">
        <x:v>20</x:v>
      </x:c>
      <x:c r="F463" s="21" t="n">
        <x:v>84</x:v>
      </x:c>
    </x:row>
    <x:row r="464">
      <x:c r="A464" s="20" t="str">
        <x:v>9-10|Female|MDD|21</x:v>
      </x:c>
      <x:c r="B464" s="22" t="str">
        <x:v>9-10</x:v>
      </x:c>
      <x:c r="C464" s="22" t="str">
        <x:v>Female</x:v>
      </x:c>
      <x:c r="D464" s="22" t="str">
        <x:v>MDD</x:v>
      </x:c>
      <x:c r="E464" s="22" t="n">
        <x:v>21</x:v>
      </x:c>
      <x:c r="F464" s="22" t="n">
        <x:v>86</x:v>
      </x:c>
    </x:row>
    <x:row r="465">
      <x:c r="A465" s="17" t="str">
        <x:v>9-10|Female|MDD|22</x:v>
      </x:c>
      <x:c r="B465" s="21" t="str">
        <x:v>9-10</x:v>
      </x:c>
      <x:c r="C465" s="21" t="str">
        <x:v>Female</x:v>
      </x:c>
      <x:c r="D465" s="21" t="str">
        <x:v>MDD</x:v>
      </x:c>
      <x:c r="E465" s="21" t="n">
        <x:v>22</x:v>
      </x:c>
      <x:c r="F465" s="21" t="n">
        <x:v>89</x:v>
      </x:c>
    </x:row>
    <x:row r="466">
      <x:c r="A466" s="20" t="str">
        <x:v>9-10|Female|MDD|23</x:v>
      </x:c>
      <x:c r="B466" s="22" t="str">
        <x:v>9-10</x:v>
      </x:c>
      <x:c r="C466" s="22" t="str">
        <x:v>Female</x:v>
      </x:c>
      <x:c r="D466" s="22" t="str">
        <x:v>MDD</x:v>
      </x:c>
      <x:c r="E466" s="22" t="n">
        <x:v>23</x:v>
      </x:c>
      <x:c r="F466" s="22" t="n">
        <x:v>92</x:v>
      </x:c>
    </x:row>
    <x:row r="467">
      <x:c r="A467" s="17" t="str">
        <x:v>9-10|Female|MDD|24</x:v>
      </x:c>
      <x:c r="B467" s="21" t="str">
        <x:v>9-10</x:v>
      </x:c>
      <x:c r="C467" s="21" t="str">
        <x:v>Female</x:v>
      </x:c>
      <x:c r="D467" s="21" t="str">
        <x:v>MDD</x:v>
      </x:c>
      <x:c r="E467" s="21" t="n">
        <x:v>24</x:v>
      </x:c>
      <x:c r="F467" s="21" t="n">
        <x:v>94</x:v>
      </x:c>
    </x:row>
    <x:row r="468">
      <x:c r="A468" s="20" t="str">
        <x:v>9-10|Female|MDD|25</x:v>
      </x:c>
      <x:c r="B468" s="22" t="str">
        <x:v>9-10</x:v>
      </x:c>
      <x:c r="C468" s="22" t="str">
        <x:v>Female</x:v>
      </x:c>
      <x:c r="D468" s="22" t="str">
        <x:v>MDD</x:v>
      </x:c>
      <x:c r="E468" s="22" t="n">
        <x:v>25</x:v>
      </x:c>
      <x:c r="F468" s="22" t="n">
        <x:v>97</x:v>
      </x:c>
    </x:row>
    <x:row r="469">
      <x:c r="A469" s="17" t="str">
        <x:v>9-10|Female|MDD|26</x:v>
      </x:c>
      <x:c r="B469" s="21" t="str">
        <x:v>9-10</x:v>
      </x:c>
      <x:c r="C469" s="21" t="str">
        <x:v>Female</x:v>
      </x:c>
      <x:c r="D469" s="21" t="str">
        <x:v>MDD</x:v>
      </x:c>
      <x:c r="E469" s="21" t="n">
        <x:v>26</x:v>
      </x:c>
      <x:c r="F469" s="21" t="n">
        <x:v>100</x:v>
      </x:c>
    </x:row>
    <x:row r="470">
      <x:c r="A470" s="20" t="str">
        <x:v>9-10|Female|MDD|27</x:v>
      </x:c>
      <x:c r="B470" s="22" t="str">
        <x:v>9-10</x:v>
      </x:c>
      <x:c r="C470" s="22" t="str">
        <x:v>Female</x:v>
      </x:c>
      <x:c r="D470" s="22" t="str">
        <x:v>MDD</x:v>
      </x:c>
      <x:c r="E470" s="22" t="n">
        <x:v>27</x:v>
      </x:c>
      <x:c r="F470" s="22" t="n">
        <x:v>103</x:v>
      </x:c>
    </x:row>
    <x:row r="471">
      <x:c r="A471" s="17" t="str">
        <x:v>9-10|Female|MDD|28</x:v>
      </x:c>
      <x:c r="B471" s="21" t="str">
        <x:v>9-10</x:v>
      </x:c>
      <x:c r="C471" s="21" t="str">
        <x:v>Female</x:v>
      </x:c>
      <x:c r="D471" s="21" t="str">
        <x:v>MDD</x:v>
      </x:c>
      <x:c r="E471" s="21" t="n">
        <x:v>28</x:v>
      </x:c>
      <x:c r="F471" s="21" t="n">
        <x:v>105</x:v>
      </x:c>
    </x:row>
    <x:row r="472">
      <x:c r="A472" s="20" t="str">
        <x:v>9-10|Female|MDD|29</x:v>
      </x:c>
      <x:c r="B472" s="22" t="str">
        <x:v>9-10</x:v>
      </x:c>
      <x:c r="C472" s="22" t="str">
        <x:v>Female</x:v>
      </x:c>
      <x:c r="D472" s="22" t="str">
        <x:v>MDD</x:v>
      </x:c>
      <x:c r="E472" s="22" t="n">
        <x:v>29</x:v>
      </x:c>
      <x:c r="F472" s="22" t="n">
        <x:v>108</x:v>
      </x:c>
    </x:row>
    <x:row r="473">
      <x:c r="A473" s="17" t="str">
        <x:v>9-10|Female|MDD|30</x:v>
      </x:c>
      <x:c r="B473" s="21" t="str">
        <x:v>9-10</x:v>
      </x:c>
      <x:c r="C473" s="21" t="str">
        <x:v>Female</x:v>
      </x:c>
      <x:c r="D473" s="21" t="str">
        <x:v>MDD</x:v>
      </x:c>
      <x:c r="E473" s="21" t="n">
        <x:v>30</x:v>
      </x:c>
      <x:c r="F473" s="21" t="n">
        <x:v>111</x:v>
      </x:c>
    </x:row>
    <x:row r="474">
      <x:c r="A474" s="20" t="str">
        <x:v>9-10|Female|GAD|0</x:v>
      </x:c>
      <x:c r="B474" s="22" t="str">
        <x:v>9-10</x:v>
      </x:c>
      <x:c r="C474" s="22" t="str">
        <x:v>Female</x:v>
      </x:c>
      <x:c r="D474" s="22" t="str">
        <x:v>GAD</x:v>
      </x:c>
      <x:c r="E474" s="22" t="n">
        <x:v>0</x:v>
      </x:c>
      <x:c r="F474" s="22" t="n">
        <x:v>29</x:v>
      </x:c>
    </x:row>
    <x:row r="475">
      <x:c r="A475" s="17" t="str">
        <x:v>9-10|Female|GAD|1</x:v>
      </x:c>
      <x:c r="B475" s="21" t="str">
        <x:v>9-10</x:v>
      </x:c>
      <x:c r="C475" s="21" t="str">
        <x:v>Female</x:v>
      </x:c>
      <x:c r="D475" s="21" t="str">
        <x:v>GAD</x:v>
      </x:c>
      <x:c r="E475" s="21" t="n">
        <x:v>1</x:v>
      </x:c>
      <x:c r="F475" s="21" t="n">
        <x:v>32</x:v>
      </x:c>
    </x:row>
    <x:row r="476">
      <x:c r="A476" s="20" t="str">
        <x:v>9-10|Female|GAD|2</x:v>
      </x:c>
      <x:c r="B476" s="22" t="str">
        <x:v>9-10</x:v>
      </x:c>
      <x:c r="C476" s="22" t="str">
        <x:v>Female</x:v>
      </x:c>
      <x:c r="D476" s="22" t="str">
        <x:v>GAD</x:v>
      </x:c>
      <x:c r="E476" s="22" t="n">
        <x:v>2</x:v>
      </x:c>
      <x:c r="F476" s="22" t="n">
        <x:v>35</x:v>
      </x:c>
    </x:row>
    <x:row r="477">
      <x:c r="A477" s="17" t="str">
        <x:v>9-10|Female|GAD|3</x:v>
      </x:c>
      <x:c r="B477" s="21" t="str">
        <x:v>9-10</x:v>
      </x:c>
      <x:c r="C477" s="21" t="str">
        <x:v>Female</x:v>
      </x:c>
      <x:c r="D477" s="21" t="str">
        <x:v>GAD</x:v>
      </x:c>
      <x:c r="E477" s="21" t="n">
        <x:v>3</x:v>
      </x:c>
      <x:c r="F477" s="21" t="n">
        <x:v>38</x:v>
      </x:c>
    </x:row>
    <x:row r="478">
      <x:c r="A478" s="20" t="str">
        <x:v>9-10|Female|GAD|4</x:v>
      </x:c>
      <x:c r="B478" s="22" t="str">
        <x:v>9-10</x:v>
      </x:c>
      <x:c r="C478" s="22" t="str">
        <x:v>Female</x:v>
      </x:c>
      <x:c r="D478" s="22" t="str">
        <x:v>GAD</x:v>
      </x:c>
      <x:c r="E478" s="22" t="n">
        <x:v>4</x:v>
      </x:c>
      <x:c r="F478" s="22" t="n">
        <x:v>40</x:v>
      </x:c>
    </x:row>
    <x:row r="479">
      <x:c r="A479" s="17" t="str">
        <x:v>9-10|Female|GAD|5</x:v>
      </x:c>
      <x:c r="B479" s="21" t="str">
        <x:v>9-10</x:v>
      </x:c>
      <x:c r="C479" s="21" t="str">
        <x:v>Female</x:v>
      </x:c>
      <x:c r="D479" s="21" t="str">
        <x:v>GAD</x:v>
      </x:c>
      <x:c r="E479" s="21" t="n">
        <x:v>5</x:v>
      </x:c>
      <x:c r="F479" s="21" t="n">
        <x:v>43</x:v>
      </x:c>
    </x:row>
    <x:row r="480">
      <x:c r="A480" s="20" t="str">
        <x:v>9-10|Female|GAD|6</x:v>
      </x:c>
      <x:c r="B480" s="22" t="str">
        <x:v>9-10</x:v>
      </x:c>
      <x:c r="C480" s="22" t="str">
        <x:v>Female</x:v>
      </x:c>
      <x:c r="D480" s="22" t="str">
        <x:v>GAD</x:v>
      </x:c>
      <x:c r="E480" s="22" t="n">
        <x:v>6</x:v>
      </x:c>
      <x:c r="F480" s="22" t="n">
        <x:v>46</x:v>
      </x:c>
    </x:row>
    <x:row r="481">
      <x:c r="A481" s="17" t="str">
        <x:v>9-10|Female|GAD|7</x:v>
      </x:c>
      <x:c r="B481" s="21" t="str">
        <x:v>9-10</x:v>
      </x:c>
      <x:c r="C481" s="21" t="str">
        <x:v>Female</x:v>
      </x:c>
      <x:c r="D481" s="21" t="str">
        <x:v>GAD</x:v>
      </x:c>
      <x:c r="E481" s="21" t="n">
        <x:v>7</x:v>
      </x:c>
      <x:c r="F481" s="21" t="n">
        <x:v>49</x:v>
      </x:c>
    </x:row>
    <x:row r="482">
      <x:c r="A482" s="20" t="str">
        <x:v>9-10|Female|GAD|8</x:v>
      </x:c>
      <x:c r="B482" s="22" t="str">
        <x:v>9-10</x:v>
      </x:c>
      <x:c r="C482" s="22" t="str">
        <x:v>Female</x:v>
      </x:c>
      <x:c r="D482" s="22" t="str">
        <x:v>GAD</x:v>
      </x:c>
      <x:c r="E482" s="22" t="n">
        <x:v>8</x:v>
      </x:c>
      <x:c r="F482" s="22" t="n">
        <x:v>52</x:v>
      </x:c>
    </x:row>
    <x:row r="483">
      <x:c r="A483" s="17" t="str">
        <x:v>9-10|Female|GAD|9</x:v>
      </x:c>
      <x:c r="B483" s="21" t="str">
        <x:v>9-10</x:v>
      </x:c>
      <x:c r="C483" s="21" t="str">
        <x:v>Female</x:v>
      </x:c>
      <x:c r="D483" s="21" t="str">
        <x:v>GAD</x:v>
      </x:c>
      <x:c r="E483" s="21" t="n">
        <x:v>9</x:v>
      </x:c>
      <x:c r="F483" s="21" t="n">
        <x:v>55</x:v>
      </x:c>
    </x:row>
    <x:row r="484">
      <x:c r="A484" s="20" t="str">
        <x:v>9-10|Female|GAD|10</x:v>
      </x:c>
      <x:c r="B484" s="22" t="str">
        <x:v>9-10</x:v>
      </x:c>
      <x:c r="C484" s="22" t="str">
        <x:v>Female</x:v>
      </x:c>
      <x:c r="D484" s="22" t="str">
        <x:v>GAD</x:v>
      </x:c>
      <x:c r="E484" s="22" t="n">
        <x:v>10</x:v>
      </x:c>
      <x:c r="F484" s="22" t="n">
        <x:v>58</x:v>
      </x:c>
    </x:row>
    <x:row r="485">
      <x:c r="A485" s="17" t="str">
        <x:v>9-10|Female|GAD|11</x:v>
      </x:c>
      <x:c r="B485" s="21" t="str">
        <x:v>9-10</x:v>
      </x:c>
      <x:c r="C485" s="21" t="str">
        <x:v>Female</x:v>
      </x:c>
      <x:c r="D485" s="21" t="str">
        <x:v>GAD</x:v>
      </x:c>
      <x:c r="E485" s="21" t="n">
        <x:v>11</x:v>
      </x:c>
      <x:c r="F485" s="21" t="n">
        <x:v>61</x:v>
      </x:c>
    </x:row>
    <x:row r="486">
      <x:c r="A486" s="20" t="str">
        <x:v>9-10|Female|GAD|12</x:v>
      </x:c>
      <x:c r="B486" s="22" t="str">
        <x:v>9-10</x:v>
      </x:c>
      <x:c r="C486" s="22" t="str">
        <x:v>Female</x:v>
      </x:c>
      <x:c r="D486" s="22" t="str">
        <x:v>GAD</x:v>
      </x:c>
      <x:c r="E486" s="22" t="n">
        <x:v>12</x:v>
      </x:c>
      <x:c r="F486" s="22" t="n">
        <x:v>64</x:v>
      </x:c>
    </x:row>
    <x:row r="487">
      <x:c r="A487" s="17" t="str">
        <x:v>9-10|Female|GAD|13</x:v>
      </x:c>
      <x:c r="B487" s="21" t="str">
        <x:v>9-10</x:v>
      </x:c>
      <x:c r="C487" s="21" t="str">
        <x:v>Female</x:v>
      </x:c>
      <x:c r="D487" s="21" t="str">
        <x:v>GAD</x:v>
      </x:c>
      <x:c r="E487" s="21" t="n">
        <x:v>13</x:v>
      </x:c>
      <x:c r="F487" s="21" t="n">
        <x:v>67</x:v>
      </x:c>
    </x:row>
    <x:row r="488">
      <x:c r="A488" s="20" t="str">
        <x:v>9-10|Female|GAD|14</x:v>
      </x:c>
      <x:c r="B488" s="22" t="str">
        <x:v>9-10</x:v>
      </x:c>
      <x:c r="C488" s="22" t="str">
        <x:v>Female</x:v>
      </x:c>
      <x:c r="D488" s="22" t="str">
        <x:v>GAD</x:v>
      </x:c>
      <x:c r="E488" s="22" t="n">
        <x:v>14</x:v>
      </x:c>
      <x:c r="F488" s="22" t="n">
        <x:v>70</x:v>
      </x:c>
    </x:row>
    <x:row r="489">
      <x:c r="A489" s="17" t="str">
        <x:v>9-10|Female|GAD|15</x:v>
      </x:c>
      <x:c r="B489" s="21" t="str">
        <x:v>9-10</x:v>
      </x:c>
      <x:c r="C489" s="21" t="str">
        <x:v>Female</x:v>
      </x:c>
      <x:c r="D489" s="21" t="str">
        <x:v>GAD</x:v>
      </x:c>
      <x:c r="E489" s="21" t="n">
        <x:v>15</x:v>
      </x:c>
      <x:c r="F489" s="21" t="n">
        <x:v>72</x:v>
      </x:c>
    </x:row>
    <x:row r="490">
      <x:c r="A490" s="20" t="str">
        <x:v>9-10|Female|GAD|16</x:v>
      </x:c>
      <x:c r="B490" s="22" t="str">
        <x:v>9-10</x:v>
      </x:c>
      <x:c r="C490" s="22" t="str">
        <x:v>Female</x:v>
      </x:c>
      <x:c r="D490" s="22" t="str">
        <x:v>GAD</x:v>
      </x:c>
      <x:c r="E490" s="22" t="n">
        <x:v>16</x:v>
      </x:c>
      <x:c r="F490" s="22" t="n">
        <x:v>75</x:v>
      </x:c>
    </x:row>
    <x:row r="491">
      <x:c r="A491" s="17" t="str">
        <x:v>9-10|Female|GAD|17</x:v>
      </x:c>
      <x:c r="B491" s="21" t="str">
        <x:v>9-10</x:v>
      </x:c>
      <x:c r="C491" s="21" t="str">
        <x:v>Female</x:v>
      </x:c>
      <x:c r="D491" s="21" t="str">
        <x:v>GAD</x:v>
      </x:c>
      <x:c r="E491" s="21" t="n">
        <x:v>17</x:v>
      </x:c>
      <x:c r="F491" s="21" t="n">
        <x:v>78</x:v>
      </x:c>
    </x:row>
    <x:row r="492">
      <x:c r="A492" s="20" t="str">
        <x:v>9-10|Female|GAD|18</x:v>
      </x:c>
      <x:c r="B492" s="22" t="str">
        <x:v>9-10</x:v>
      </x:c>
      <x:c r="C492" s="22" t="str">
        <x:v>Female</x:v>
      </x:c>
      <x:c r="D492" s="22" t="str">
        <x:v>GAD</x:v>
      </x:c>
      <x:c r="E492" s="22" t="n">
        <x:v>18</x:v>
      </x:c>
      <x:c r="F492" s="22" t="n">
        <x:v>81</x:v>
      </x:c>
    </x:row>
    <x:row r="493">
      <x:c r="A493" s="17" t="str">
        <x:v>9-10|Female|OCD|0</x:v>
      </x:c>
      <x:c r="B493" s="21" t="str">
        <x:v>9-10</x:v>
      </x:c>
      <x:c r="C493" s="21" t="str">
        <x:v>Female</x:v>
      </x:c>
      <x:c r="D493" s="21" t="str">
        <x:v>OCD</x:v>
      </x:c>
      <x:c r="E493" s="21" t="n">
        <x:v>0</x:v>
      </x:c>
      <x:c r="F493" s="21" t="n">
        <x:v>35</x:v>
      </x:c>
    </x:row>
    <x:row r="494">
      <x:c r="A494" s="20" t="str">
        <x:v>9-10|Female|OCD|1</x:v>
      </x:c>
      <x:c r="B494" s="22" t="str">
        <x:v>9-10</x:v>
      </x:c>
      <x:c r="C494" s="22" t="str">
        <x:v>Female</x:v>
      </x:c>
      <x:c r="D494" s="22" t="str">
        <x:v>OCD</x:v>
      </x:c>
      <x:c r="E494" s="22" t="n">
        <x:v>1</x:v>
      </x:c>
      <x:c r="F494" s="22" t="n">
        <x:v>39</x:v>
      </x:c>
    </x:row>
    <x:row r="495">
      <x:c r="A495" s="17" t="str">
        <x:v>9-10|Female|OCD|2</x:v>
      </x:c>
      <x:c r="B495" s="21" t="str">
        <x:v>9-10</x:v>
      </x:c>
      <x:c r="C495" s="21" t="str">
        <x:v>Female</x:v>
      </x:c>
      <x:c r="D495" s="21" t="str">
        <x:v>OCD</x:v>
      </x:c>
      <x:c r="E495" s="21" t="n">
        <x:v>2</x:v>
      </x:c>
      <x:c r="F495" s="21" t="n">
        <x:v>42</x:v>
      </x:c>
    </x:row>
    <x:row r="496">
      <x:c r="A496" s="20" t="str">
        <x:v>9-10|Female|OCD|3</x:v>
      </x:c>
      <x:c r="B496" s="22" t="str">
        <x:v>9-10</x:v>
      </x:c>
      <x:c r="C496" s="22" t="str">
        <x:v>Female</x:v>
      </x:c>
      <x:c r="D496" s="22" t="str">
        <x:v>OCD</x:v>
      </x:c>
      <x:c r="E496" s="22" t="n">
        <x:v>3</x:v>
      </x:c>
      <x:c r="F496" s="22" t="n">
        <x:v>46</x:v>
      </x:c>
    </x:row>
    <x:row r="497">
      <x:c r="A497" s="17" t="str">
        <x:v>9-10|Female|OCD|4</x:v>
      </x:c>
      <x:c r="B497" s="21" t="str">
        <x:v>9-10</x:v>
      </x:c>
      <x:c r="C497" s="21" t="str">
        <x:v>Female</x:v>
      </x:c>
      <x:c r="D497" s="21" t="str">
        <x:v>OCD</x:v>
      </x:c>
      <x:c r="E497" s="21" t="n">
        <x:v>4</x:v>
      </x:c>
      <x:c r="F497" s="21" t="n">
        <x:v>50</x:v>
      </x:c>
    </x:row>
    <x:row r="498">
      <x:c r="A498" s="20" t="str">
        <x:v>9-10|Female|OCD|5</x:v>
      </x:c>
      <x:c r="B498" s="22" t="str">
        <x:v>9-10</x:v>
      </x:c>
      <x:c r="C498" s="22" t="str">
        <x:v>Female</x:v>
      </x:c>
      <x:c r="D498" s="22" t="str">
        <x:v>OCD</x:v>
      </x:c>
      <x:c r="E498" s="22" t="n">
        <x:v>5</x:v>
      </x:c>
      <x:c r="F498" s="22" t="n">
        <x:v>53</x:v>
      </x:c>
    </x:row>
    <x:row r="499">
      <x:c r="A499" s="17" t="str">
        <x:v>9-10|Female|OCD|6</x:v>
      </x:c>
      <x:c r="B499" s="21" t="str">
        <x:v>9-10</x:v>
      </x:c>
      <x:c r="C499" s="21" t="str">
        <x:v>Female</x:v>
      </x:c>
      <x:c r="D499" s="21" t="str">
        <x:v>OCD</x:v>
      </x:c>
      <x:c r="E499" s="21" t="n">
        <x:v>6</x:v>
      </x:c>
      <x:c r="F499" s="21" t="n">
        <x:v>57</x:v>
      </x:c>
    </x:row>
    <x:row r="500">
      <x:c r="A500" s="20" t="str">
        <x:v>9-10|Female|OCD|7</x:v>
      </x:c>
      <x:c r="B500" s="22" t="str">
        <x:v>9-10</x:v>
      </x:c>
      <x:c r="C500" s="22" t="str">
        <x:v>Female</x:v>
      </x:c>
      <x:c r="D500" s="22" t="str">
        <x:v>OCD</x:v>
      </x:c>
      <x:c r="E500" s="22" t="n">
        <x:v>7</x:v>
      </x:c>
      <x:c r="F500" s="22" t="n">
        <x:v>60</x:v>
      </x:c>
    </x:row>
    <x:row r="501">
      <x:c r="A501" s="17" t="str">
        <x:v>9-10|Female|OCD|8</x:v>
      </x:c>
      <x:c r="B501" s="21" t="str">
        <x:v>9-10</x:v>
      </x:c>
      <x:c r="C501" s="21" t="str">
        <x:v>Female</x:v>
      </x:c>
      <x:c r="D501" s="21" t="str">
        <x:v>OCD</x:v>
      </x:c>
      <x:c r="E501" s="21" t="n">
        <x:v>8</x:v>
      </x:c>
      <x:c r="F501" s="21" t="n">
        <x:v>64</x:v>
      </x:c>
    </x:row>
    <x:row r="502">
      <x:c r="A502" s="20" t="str">
        <x:v>9-10|Female|OCD|9</x:v>
      </x:c>
      <x:c r="B502" s="22" t="str">
        <x:v>9-10</x:v>
      </x:c>
      <x:c r="C502" s="22" t="str">
        <x:v>Female</x:v>
      </x:c>
      <x:c r="D502" s="22" t="str">
        <x:v>OCD</x:v>
      </x:c>
      <x:c r="E502" s="22" t="n">
        <x:v>9</x:v>
      </x:c>
      <x:c r="F502" s="22" t="n">
        <x:v>67</x:v>
      </x:c>
    </x:row>
    <x:row r="503">
      <x:c r="A503" s="17" t="str">
        <x:v>9-10|Female|OCD|10</x:v>
      </x:c>
      <x:c r="B503" s="21" t="str">
        <x:v>9-10</x:v>
      </x:c>
      <x:c r="C503" s="21" t="str">
        <x:v>Female</x:v>
      </x:c>
      <x:c r="D503" s="21" t="str">
        <x:v>OCD</x:v>
      </x:c>
      <x:c r="E503" s="21" t="n">
        <x:v>10</x:v>
      </x:c>
      <x:c r="F503" s="21" t="n">
        <x:v>71</x:v>
      </x:c>
    </x:row>
    <x:row r="504">
      <x:c r="A504" s="20" t="str">
        <x:v>9-10|Female|OCD|11</x:v>
      </x:c>
      <x:c r="B504" s="22" t="str">
        <x:v>9-10</x:v>
      </x:c>
      <x:c r="C504" s="22" t="str">
        <x:v>Female</x:v>
      </x:c>
      <x:c r="D504" s="22" t="str">
        <x:v>OCD</x:v>
      </x:c>
      <x:c r="E504" s="22" t="n">
        <x:v>11</x:v>
      </x:c>
      <x:c r="F504" s="22" t="n">
        <x:v>75</x:v>
      </x:c>
    </x:row>
    <x:row r="505">
      <x:c r="A505" s="17" t="str">
        <x:v>9-10|Female|OCD|12</x:v>
      </x:c>
      <x:c r="B505" s="21" t="str">
        <x:v>9-10</x:v>
      </x:c>
      <x:c r="C505" s="21" t="str">
        <x:v>Female</x:v>
      </x:c>
      <x:c r="D505" s="21" t="str">
        <x:v>OCD</x:v>
      </x:c>
      <x:c r="E505" s="21" t="n">
        <x:v>12</x:v>
      </x:c>
      <x:c r="F505" s="21" t="n">
        <x:v>78</x:v>
      </x:c>
    </x:row>
    <x:row r="506">
      <x:c r="A506" s="20" t="str">
        <x:v>9-10|Female|OCD|13</x:v>
      </x:c>
      <x:c r="B506" s="22" t="str">
        <x:v>9-10</x:v>
      </x:c>
      <x:c r="C506" s="22" t="str">
        <x:v>Female</x:v>
      </x:c>
      <x:c r="D506" s="22" t="str">
        <x:v>OCD</x:v>
      </x:c>
      <x:c r="E506" s="22" t="n">
        <x:v>13</x:v>
      </x:c>
      <x:c r="F506" s="22" t="n">
        <x:v>82</x:v>
      </x:c>
    </x:row>
    <x:row r="507">
      <x:c r="A507" s="17" t="str">
        <x:v>9-10|Female|OCD|14</x:v>
      </x:c>
      <x:c r="B507" s="21" t="str">
        <x:v>9-10</x:v>
      </x:c>
      <x:c r="C507" s="21" t="str">
        <x:v>Female</x:v>
      </x:c>
      <x:c r="D507" s="21" t="str">
        <x:v>OCD</x:v>
      </x:c>
      <x:c r="E507" s="21" t="n">
        <x:v>14</x:v>
      </x:c>
      <x:c r="F507" s="21" t="n">
        <x:v>85</x:v>
      </x:c>
    </x:row>
    <x:row r="508">
      <x:c r="A508" s="20" t="str">
        <x:v>9-10|Female|OCD|15</x:v>
      </x:c>
      <x:c r="B508" s="22" t="str">
        <x:v>9-10</x:v>
      </x:c>
      <x:c r="C508" s="22" t="str">
        <x:v>Female</x:v>
      </x:c>
      <x:c r="D508" s="22" t="str">
        <x:v>OCD</x:v>
      </x:c>
      <x:c r="E508" s="22" t="n">
        <x:v>15</x:v>
      </x:c>
      <x:c r="F508" s="22" t="n">
        <x:v>89</x:v>
      </x:c>
    </x:row>
    <x:row r="509">
      <x:c r="A509" s="17" t="str">
        <x:v>9-10|Female|OCD|16</x:v>
      </x:c>
      <x:c r="B509" s="21" t="str">
        <x:v>9-10</x:v>
      </x:c>
      <x:c r="C509" s="21" t="str">
        <x:v>Female</x:v>
      </x:c>
      <x:c r="D509" s="21" t="str">
        <x:v>OCD</x:v>
      </x:c>
      <x:c r="E509" s="21" t="n">
        <x:v>16</x:v>
      </x:c>
      <x:c r="F509" s="21" t="n">
        <x:v>93</x:v>
      </x:c>
    </x:row>
    <x:row r="510">
      <x:c r="A510" s="20" t="str">
        <x:v>9-10|Female|OCD|17</x:v>
      </x:c>
      <x:c r="B510" s="22" t="str">
        <x:v>9-10</x:v>
      </x:c>
      <x:c r="C510" s="22" t="str">
        <x:v>Female</x:v>
      </x:c>
      <x:c r="D510" s="22" t="str">
        <x:v>OCD</x:v>
      </x:c>
      <x:c r="E510" s="22" t="n">
        <x:v>17</x:v>
      </x:c>
      <x:c r="F510" s="22" t="n">
        <x:v>96</x:v>
      </x:c>
    </x:row>
    <x:row r="511">
      <x:c r="A511" s="17" t="str">
        <x:v>9-10|Female|OCD|18</x:v>
      </x:c>
      <x:c r="B511" s="21" t="str">
        <x:v>9-10</x:v>
      </x:c>
      <x:c r="C511" s="21" t="str">
        <x:v>Female</x:v>
      </x:c>
      <x:c r="D511" s="21" t="str">
        <x:v>OCD</x:v>
      </x:c>
      <x:c r="E511" s="21" t="n">
        <x:v>18</x:v>
      </x:c>
      <x:c r="F511" s="21" t="n">
        <x:v>100</x:v>
      </x:c>
    </x:row>
    <x:row r="512">
      <x:c r="A512" s="20" t="str">
        <x:v>9-10|Female|PD|0</x:v>
      </x:c>
      <x:c r="B512" s="22" t="str">
        <x:v>9-10</x:v>
      </x:c>
      <x:c r="C512" s="22" t="str">
        <x:v>Female</x:v>
      </x:c>
      <x:c r="D512" s="22" t="str">
        <x:v>PD</x:v>
      </x:c>
      <x:c r="E512" s="22" t="n">
        <x:v>0</x:v>
      </x:c>
      <x:c r="F512" s="22" t="n">
        <x:v>36</x:v>
      </x:c>
    </x:row>
    <x:row r="513">
      <x:c r="A513" s="17" t="str">
        <x:v>9-10|Female|PD|1</x:v>
      </x:c>
      <x:c r="B513" s="21" t="str">
        <x:v>9-10</x:v>
      </x:c>
      <x:c r="C513" s="21" t="str">
        <x:v>Female</x:v>
      </x:c>
      <x:c r="D513" s="21" t="str">
        <x:v>PD</x:v>
      </x:c>
      <x:c r="E513" s="21" t="n">
        <x:v>1</x:v>
      </x:c>
      <x:c r="F513" s="21" t="n">
        <x:v>40</x:v>
      </x:c>
    </x:row>
    <x:row r="514">
      <x:c r="A514" s="20" t="str">
        <x:v>9-10|Female|PD|2</x:v>
      </x:c>
      <x:c r="B514" s="22" t="str">
        <x:v>9-10</x:v>
      </x:c>
      <x:c r="C514" s="22" t="str">
        <x:v>Female</x:v>
      </x:c>
      <x:c r="D514" s="22" t="str">
        <x:v>PD</x:v>
      </x:c>
      <x:c r="E514" s="22" t="n">
        <x:v>2</x:v>
      </x:c>
      <x:c r="F514" s="22" t="n">
        <x:v>43</x:v>
      </x:c>
    </x:row>
    <x:row r="515">
      <x:c r="A515" s="17" t="str">
        <x:v>9-10|Female|PD|3</x:v>
      </x:c>
      <x:c r="B515" s="21" t="str">
        <x:v>9-10</x:v>
      </x:c>
      <x:c r="C515" s="21" t="str">
        <x:v>Female</x:v>
      </x:c>
      <x:c r="D515" s="21" t="str">
        <x:v>PD</x:v>
      </x:c>
      <x:c r="E515" s="21" t="n">
        <x:v>3</x:v>
      </x:c>
      <x:c r="F515" s="21" t="n">
        <x:v>46</x:v>
      </x:c>
    </x:row>
    <x:row r="516">
      <x:c r="A516" s="20" t="str">
        <x:v>9-10|Female|PD|4</x:v>
      </x:c>
      <x:c r="B516" s="22" t="str">
        <x:v>9-10</x:v>
      </x:c>
      <x:c r="C516" s="22" t="str">
        <x:v>Female</x:v>
      </x:c>
      <x:c r="D516" s="22" t="str">
        <x:v>PD</x:v>
      </x:c>
      <x:c r="E516" s="22" t="n">
        <x:v>4</x:v>
      </x:c>
      <x:c r="F516" s="22" t="n">
        <x:v>49</x:v>
      </x:c>
    </x:row>
    <x:row r="517">
      <x:c r="A517" s="17" t="str">
        <x:v>9-10|Female|PD|5</x:v>
      </x:c>
      <x:c r="B517" s="21" t="str">
        <x:v>9-10</x:v>
      </x:c>
      <x:c r="C517" s="21" t="str">
        <x:v>Female</x:v>
      </x:c>
      <x:c r="D517" s="21" t="str">
        <x:v>PD</x:v>
      </x:c>
      <x:c r="E517" s="21" t="n">
        <x:v>5</x:v>
      </x:c>
      <x:c r="F517" s="21" t="n">
        <x:v>53</x:v>
      </x:c>
    </x:row>
    <x:row r="518">
      <x:c r="A518" s="20" t="str">
        <x:v>9-10|Female|PD|6</x:v>
      </x:c>
      <x:c r="B518" s="22" t="str">
        <x:v>9-10</x:v>
      </x:c>
      <x:c r="C518" s="22" t="str">
        <x:v>Female</x:v>
      </x:c>
      <x:c r="D518" s="22" t="str">
        <x:v>PD</x:v>
      </x:c>
      <x:c r="E518" s="22" t="n">
        <x:v>6</x:v>
      </x:c>
      <x:c r="F518" s="22" t="n">
        <x:v>56</x:v>
      </x:c>
    </x:row>
    <x:row r="519">
      <x:c r="A519" s="17" t="str">
        <x:v>9-10|Female|PD|7</x:v>
      </x:c>
      <x:c r="B519" s="21" t="str">
        <x:v>9-10</x:v>
      </x:c>
      <x:c r="C519" s="21" t="str">
        <x:v>Female</x:v>
      </x:c>
      <x:c r="D519" s="21" t="str">
        <x:v>PD</x:v>
      </x:c>
      <x:c r="E519" s="21" t="n">
        <x:v>7</x:v>
      </x:c>
      <x:c r="F519" s="21" t="n">
        <x:v>59</x:v>
      </x:c>
    </x:row>
    <x:row r="520">
      <x:c r="A520" s="20" t="str">
        <x:v>9-10|Female|PD|8</x:v>
      </x:c>
      <x:c r="B520" s="22" t="str">
        <x:v>9-10</x:v>
      </x:c>
      <x:c r="C520" s="22" t="str">
        <x:v>Female</x:v>
      </x:c>
      <x:c r="D520" s="22" t="str">
        <x:v>PD</x:v>
      </x:c>
      <x:c r="E520" s="22" t="n">
        <x:v>8</x:v>
      </x:c>
      <x:c r="F520" s="22" t="n">
        <x:v>62</x:v>
      </x:c>
    </x:row>
    <x:row r="521">
      <x:c r="A521" s="17" t="str">
        <x:v>9-10|Female|PD|9</x:v>
      </x:c>
      <x:c r="B521" s="21" t="str">
        <x:v>9-10</x:v>
      </x:c>
      <x:c r="C521" s="21" t="str">
        <x:v>Female</x:v>
      </x:c>
      <x:c r="D521" s="21" t="str">
        <x:v>PD</x:v>
      </x:c>
      <x:c r="E521" s="21" t="n">
        <x:v>9</x:v>
      </x:c>
      <x:c r="F521" s="21" t="n">
        <x:v>66</x:v>
      </x:c>
    </x:row>
    <x:row r="522">
      <x:c r="A522" s="20" t="str">
        <x:v>9-10|Female|PD|10</x:v>
      </x:c>
      <x:c r="B522" s="22" t="str">
        <x:v>9-10</x:v>
      </x:c>
      <x:c r="C522" s="22" t="str">
        <x:v>Female</x:v>
      </x:c>
      <x:c r="D522" s="22" t="str">
        <x:v>PD</x:v>
      </x:c>
      <x:c r="E522" s="22" t="n">
        <x:v>10</x:v>
      </x:c>
      <x:c r="F522" s="22" t="n">
        <x:v>69</x:v>
      </x:c>
    </x:row>
    <x:row r="523">
      <x:c r="A523" s="17" t="str">
        <x:v>9-10|Female|PD|11</x:v>
      </x:c>
      <x:c r="B523" s="21" t="str">
        <x:v>9-10</x:v>
      </x:c>
      <x:c r="C523" s="21" t="str">
        <x:v>Female</x:v>
      </x:c>
      <x:c r="D523" s="21" t="str">
        <x:v>PD</x:v>
      </x:c>
      <x:c r="E523" s="21" t="n">
        <x:v>11</x:v>
      </x:c>
      <x:c r="F523" s="21" t="n">
        <x:v>72</x:v>
      </x:c>
    </x:row>
    <x:row r="524">
      <x:c r="A524" s="20" t="str">
        <x:v>9-10|Female|PD|12</x:v>
      </x:c>
      <x:c r="B524" s="22" t="str">
        <x:v>9-10</x:v>
      </x:c>
      <x:c r="C524" s="22" t="str">
        <x:v>Female</x:v>
      </x:c>
      <x:c r="D524" s="22" t="str">
        <x:v>PD</x:v>
      </x:c>
      <x:c r="E524" s="22" t="n">
        <x:v>12</x:v>
      </x:c>
      <x:c r="F524" s="22" t="n">
        <x:v>75</x:v>
      </x:c>
    </x:row>
    <x:row r="525">
      <x:c r="A525" s="17" t="str">
        <x:v>9-10|Female|PD|13</x:v>
      </x:c>
      <x:c r="B525" s="21" t="str">
        <x:v>9-10</x:v>
      </x:c>
      <x:c r="C525" s="21" t="str">
        <x:v>Female</x:v>
      </x:c>
      <x:c r="D525" s="21" t="str">
        <x:v>PD</x:v>
      </x:c>
      <x:c r="E525" s="21" t="n">
        <x:v>13</x:v>
      </x:c>
      <x:c r="F525" s="21" t="n">
        <x:v>79</x:v>
      </x:c>
    </x:row>
    <x:row r="526">
      <x:c r="A526" s="20" t="str">
        <x:v>9-10|Female|PD|14</x:v>
      </x:c>
      <x:c r="B526" s="22" t="str">
        <x:v>9-10</x:v>
      </x:c>
      <x:c r="C526" s="22" t="str">
        <x:v>Female</x:v>
      </x:c>
      <x:c r="D526" s="22" t="str">
        <x:v>PD</x:v>
      </x:c>
      <x:c r="E526" s="22" t="n">
        <x:v>14</x:v>
      </x:c>
      <x:c r="F526" s="22" t="n">
        <x:v>82</x:v>
      </x:c>
    </x:row>
    <x:row r="527">
      <x:c r="A527" s="17" t="str">
        <x:v>9-10|Female|PD|15</x:v>
      </x:c>
      <x:c r="B527" s="21" t="str">
        <x:v>9-10</x:v>
      </x:c>
      <x:c r="C527" s="21" t="str">
        <x:v>Female</x:v>
      </x:c>
      <x:c r="D527" s="21" t="str">
        <x:v>PD</x:v>
      </x:c>
      <x:c r="E527" s="21" t="n">
        <x:v>15</x:v>
      </x:c>
      <x:c r="F527" s="21" t="n">
        <x:v>85</x:v>
      </x:c>
    </x:row>
    <x:row r="528">
      <x:c r="A528" s="20" t="str">
        <x:v>9-10|Female|PD|16</x:v>
      </x:c>
      <x:c r="B528" s="22" t="str">
        <x:v>9-10</x:v>
      </x:c>
      <x:c r="C528" s="22" t="str">
        <x:v>Female</x:v>
      </x:c>
      <x:c r="D528" s="22" t="str">
        <x:v>PD</x:v>
      </x:c>
      <x:c r="E528" s="22" t="n">
        <x:v>16</x:v>
      </x:c>
      <x:c r="F528" s="22" t="n">
        <x:v>89</x:v>
      </x:c>
    </x:row>
    <x:row r="529">
      <x:c r="A529" s="17" t="str">
        <x:v>9-10|Female|PD|17</x:v>
      </x:c>
      <x:c r="B529" s="21" t="str">
        <x:v>9-10</x:v>
      </x:c>
      <x:c r="C529" s="21" t="str">
        <x:v>Female</x:v>
      </x:c>
      <x:c r="D529" s="21" t="str">
        <x:v>PD</x:v>
      </x:c>
      <x:c r="E529" s="21" t="n">
        <x:v>17</x:v>
      </x:c>
      <x:c r="F529" s="21" t="n">
        <x:v>92</x:v>
      </x:c>
    </x:row>
    <x:row r="530">
      <x:c r="A530" s="20" t="str">
        <x:v>9-10|Female|PD|18</x:v>
      </x:c>
      <x:c r="B530" s="22" t="str">
        <x:v>9-10</x:v>
      </x:c>
      <x:c r="C530" s="22" t="str">
        <x:v>Female</x:v>
      </x:c>
      <x:c r="D530" s="22" t="str">
        <x:v>PD</x:v>
      </x:c>
      <x:c r="E530" s="22" t="n">
        <x:v>18</x:v>
      </x:c>
      <x:c r="F530" s="22" t="n">
        <x:v>95</x:v>
      </x:c>
    </x:row>
    <x:row r="531">
      <x:c r="A531" s="17" t="str">
        <x:v>9-10|Female|PD|19</x:v>
      </x:c>
      <x:c r="B531" s="21" t="str">
        <x:v>9-10</x:v>
      </x:c>
      <x:c r="C531" s="21" t="str">
        <x:v>Female</x:v>
      </x:c>
      <x:c r="D531" s="21" t="str">
        <x:v>PD</x:v>
      </x:c>
      <x:c r="E531" s="21" t="n">
        <x:v>19</x:v>
      </x:c>
      <x:c r="F531" s="21" t="n">
        <x:v>98</x:v>
      </x:c>
    </x:row>
    <x:row r="532">
      <x:c r="A532" s="20" t="str">
        <x:v>9-10|Female|PD|20</x:v>
      </x:c>
      <x:c r="B532" s="22" t="str">
        <x:v>9-10</x:v>
      </x:c>
      <x:c r="C532" s="22" t="str">
        <x:v>Female</x:v>
      </x:c>
      <x:c r="D532" s="22" t="str">
        <x:v>PD</x:v>
      </x:c>
      <x:c r="E532" s="22" t="n">
        <x:v>20</x:v>
      </x:c>
      <x:c r="F532" s="22" t="n">
        <x:v>102</x:v>
      </x:c>
    </x:row>
    <x:row r="533">
      <x:c r="A533" s="17" t="str">
        <x:v>9-10|Female|PD|21</x:v>
      </x:c>
      <x:c r="B533" s="21" t="str">
        <x:v>9-10</x:v>
      </x:c>
      <x:c r="C533" s="21" t="str">
        <x:v>Female</x:v>
      </x:c>
      <x:c r="D533" s="21" t="str">
        <x:v>PD</x:v>
      </x:c>
      <x:c r="E533" s="21" t="n">
        <x:v>21</x:v>
      </x:c>
      <x:c r="F533" s="21" t="n">
        <x:v>105</x:v>
      </x:c>
    </x:row>
    <x:row r="534">
      <x:c r="A534" s="20" t="str">
        <x:v>9-10|Female|PD|22</x:v>
      </x:c>
      <x:c r="B534" s="22" t="str">
        <x:v>9-10</x:v>
      </x:c>
      <x:c r="C534" s="22" t="str">
        <x:v>Female</x:v>
      </x:c>
      <x:c r="D534" s="22" t="str">
        <x:v>PD</x:v>
      </x:c>
      <x:c r="E534" s="22" t="n">
        <x:v>22</x:v>
      </x:c>
      <x:c r="F534" s="22" t="n">
        <x:v>108</x:v>
      </x:c>
    </x:row>
    <x:row r="535">
      <x:c r="A535" s="17" t="str">
        <x:v>9-10|Female|PD|23</x:v>
      </x:c>
      <x:c r="B535" s="21" t="str">
        <x:v>9-10</x:v>
      </x:c>
      <x:c r="C535" s="21" t="str">
        <x:v>Female</x:v>
      </x:c>
      <x:c r="D535" s="21" t="str">
        <x:v>PD</x:v>
      </x:c>
      <x:c r="E535" s="21" t="n">
        <x:v>23</x:v>
      </x:c>
      <x:c r="F535" s="21" t="n">
        <x:v>111</x:v>
      </x:c>
    </x:row>
    <x:row r="536">
      <x:c r="A536" s="20" t="str">
        <x:v>9-10|Female|PD|24</x:v>
      </x:c>
      <x:c r="B536" s="22" t="str">
        <x:v>9-10</x:v>
      </x:c>
      <x:c r="C536" s="22" t="str">
        <x:v>Female</x:v>
      </x:c>
      <x:c r="D536" s="22" t="str">
        <x:v>PD</x:v>
      </x:c>
      <x:c r="E536" s="22" t="n">
        <x:v>24</x:v>
      </x:c>
      <x:c r="F536" s="22" t="n">
        <x:v>115</x:v>
      </x:c>
    </x:row>
    <x:row r="537">
      <x:c r="A537" s="17" t="str">
        <x:v>9-10|Female|PD|25</x:v>
      </x:c>
      <x:c r="B537" s="21" t="str">
        <x:v>9-10</x:v>
      </x:c>
      <x:c r="C537" s="21" t="str">
        <x:v>Female</x:v>
      </x:c>
      <x:c r="D537" s="21" t="str">
        <x:v>PD</x:v>
      </x:c>
      <x:c r="E537" s="21" t="n">
        <x:v>25</x:v>
      </x:c>
      <x:c r="F537" s="21" t="n">
        <x:v>118</x:v>
      </x:c>
    </x:row>
    <x:row r="538">
      <x:c r="A538" s="20" t="str">
        <x:v>9-10|Female|PD|26</x:v>
      </x:c>
      <x:c r="B538" s="22" t="str">
        <x:v>9-10</x:v>
      </x:c>
      <x:c r="C538" s="22" t="str">
        <x:v>Female</x:v>
      </x:c>
      <x:c r="D538" s="22" t="str">
        <x:v>PD</x:v>
      </x:c>
      <x:c r="E538" s="22" t="n">
        <x:v>26</x:v>
      </x:c>
      <x:c r="F538" s="22" t="n">
        <x:v>121</x:v>
      </x:c>
    </x:row>
    <x:row r="539">
      <x:c r="A539" s="17" t="str">
        <x:v>9-10|Female|PD|27</x:v>
      </x:c>
      <x:c r="B539" s="21" t="str">
        <x:v>9-10</x:v>
      </x:c>
      <x:c r="C539" s="21" t="str">
        <x:v>Female</x:v>
      </x:c>
      <x:c r="D539" s="21" t="str">
        <x:v>PD</x:v>
      </x:c>
      <x:c r="E539" s="21" t="n">
        <x:v>27</x:v>
      </x:c>
      <x:c r="F539" s="21" t="n">
        <x:v>124</x:v>
      </x:c>
    </x:row>
    <x:row r="540">
      <x:c r="A540" s="20" t="str">
        <x:v>9-10|Female|SAD|0</x:v>
      </x:c>
      <x:c r="B540" s="22" t="str">
        <x:v>9-10</x:v>
      </x:c>
      <x:c r="C540" s="22" t="str">
        <x:v>Female</x:v>
      </x:c>
      <x:c r="D540" s="22" t="str">
        <x:v>SAD</x:v>
      </x:c>
      <x:c r="E540" s="22" t="n">
        <x:v>0</x:v>
      </x:c>
      <x:c r="F540" s="22" t="n">
        <x:v>40</x:v>
      </x:c>
    </x:row>
    <x:row r="541">
      <x:c r="A541" s="17" t="str">
        <x:v>9-10|Female|SAD|1</x:v>
      </x:c>
      <x:c r="B541" s="21" t="str">
        <x:v>9-10</x:v>
      </x:c>
      <x:c r="C541" s="21" t="str">
        <x:v>Female</x:v>
      </x:c>
      <x:c r="D541" s="21" t="str">
        <x:v>SAD</x:v>
      </x:c>
      <x:c r="E541" s="21" t="n">
        <x:v>1</x:v>
      </x:c>
      <x:c r="F541" s="21" t="n">
        <x:v>44</x:v>
      </x:c>
    </x:row>
    <x:row r="542">
      <x:c r="A542" s="20" t="str">
        <x:v>9-10|Female|SAD|2</x:v>
      </x:c>
      <x:c r="B542" s="22" t="str">
        <x:v>9-10</x:v>
      </x:c>
      <x:c r="C542" s="22" t="str">
        <x:v>Female</x:v>
      </x:c>
      <x:c r="D542" s="22" t="str">
        <x:v>SAD</x:v>
      </x:c>
      <x:c r="E542" s="22" t="n">
        <x:v>2</x:v>
      </x:c>
      <x:c r="F542" s="22" t="n">
        <x:v>48</x:v>
      </x:c>
    </x:row>
    <x:row r="543">
      <x:c r="A543" s="17" t="str">
        <x:v>9-10|Female|SAD|3</x:v>
      </x:c>
      <x:c r="B543" s="21" t="str">
        <x:v>9-10</x:v>
      </x:c>
      <x:c r="C543" s="21" t="str">
        <x:v>Female</x:v>
      </x:c>
      <x:c r="D543" s="21" t="str">
        <x:v>SAD</x:v>
      </x:c>
      <x:c r="E543" s="21" t="n">
        <x:v>3</x:v>
      </x:c>
      <x:c r="F543" s="21" t="n">
        <x:v>53</x:v>
      </x:c>
    </x:row>
    <x:row r="544">
      <x:c r="A544" s="20" t="str">
        <x:v>9-10|Female|SAD|4</x:v>
      </x:c>
      <x:c r="B544" s="22" t="str">
        <x:v>9-10</x:v>
      </x:c>
      <x:c r="C544" s="22" t="str">
        <x:v>Female</x:v>
      </x:c>
      <x:c r="D544" s="22" t="str">
        <x:v>SAD</x:v>
      </x:c>
      <x:c r="E544" s="22" t="n">
        <x:v>4</x:v>
      </x:c>
      <x:c r="F544" s="22" t="n">
        <x:v>57</x:v>
      </x:c>
    </x:row>
    <x:row r="545">
      <x:c r="A545" s="17" t="str">
        <x:v>9-10|Female|SAD|5</x:v>
      </x:c>
      <x:c r="B545" s="21" t="str">
        <x:v>9-10</x:v>
      </x:c>
      <x:c r="C545" s="21" t="str">
        <x:v>Female</x:v>
      </x:c>
      <x:c r="D545" s="21" t="str">
        <x:v>SAD</x:v>
      </x:c>
      <x:c r="E545" s="21" t="n">
        <x:v>5</x:v>
      </x:c>
      <x:c r="F545" s="21" t="n">
        <x:v>62</x:v>
      </x:c>
    </x:row>
    <x:row r="546">
      <x:c r="A546" s="20" t="str">
        <x:v>9-10|Female|SAD|6</x:v>
      </x:c>
      <x:c r="B546" s="22" t="str">
        <x:v>9-10</x:v>
      </x:c>
      <x:c r="C546" s="22" t="str">
        <x:v>Female</x:v>
      </x:c>
      <x:c r="D546" s="22" t="str">
        <x:v>SAD</x:v>
      </x:c>
      <x:c r="E546" s="22" t="n">
        <x:v>6</x:v>
      </x:c>
      <x:c r="F546" s="22" t="n">
        <x:v>66</x:v>
      </x:c>
    </x:row>
    <x:row r="547">
      <x:c r="A547" s="17" t="str">
        <x:v>9-10|Female|SAD|7</x:v>
      </x:c>
      <x:c r="B547" s="21" t="str">
        <x:v>9-10</x:v>
      </x:c>
      <x:c r="C547" s="21" t="str">
        <x:v>Female</x:v>
      </x:c>
      <x:c r="D547" s="21" t="str">
        <x:v>SAD</x:v>
      </x:c>
      <x:c r="E547" s="21" t="n">
        <x:v>7</x:v>
      </x:c>
      <x:c r="F547" s="21" t="n">
        <x:v>71</x:v>
      </x:c>
    </x:row>
    <x:row r="548">
      <x:c r="A548" s="20" t="str">
        <x:v>9-10|Female|SAD|8</x:v>
      </x:c>
      <x:c r="B548" s="22" t="str">
        <x:v>9-10</x:v>
      </x:c>
      <x:c r="C548" s="22" t="str">
        <x:v>Female</x:v>
      </x:c>
      <x:c r="D548" s="22" t="str">
        <x:v>SAD</x:v>
      </x:c>
      <x:c r="E548" s="22" t="n">
        <x:v>8</x:v>
      </x:c>
      <x:c r="F548" s="22" t="n">
        <x:v>75</x:v>
      </x:c>
    </x:row>
    <x:row r="549">
      <x:c r="A549" s="17" t="str">
        <x:v>9-10|Female|SAD|9</x:v>
      </x:c>
      <x:c r="B549" s="21" t="str">
        <x:v>9-10</x:v>
      </x:c>
      <x:c r="C549" s="21" t="str">
        <x:v>Female</x:v>
      </x:c>
      <x:c r="D549" s="21" t="str">
        <x:v>SAD</x:v>
      </x:c>
      <x:c r="E549" s="21" t="n">
        <x:v>9</x:v>
      </x:c>
      <x:c r="F549" s="21" t="n">
        <x:v>80</x:v>
      </x:c>
    </x:row>
    <x:row r="550">
      <x:c r="A550" s="20" t="str">
        <x:v>9-10|Female|SAD|10</x:v>
      </x:c>
      <x:c r="B550" s="22" t="str">
        <x:v>9-10</x:v>
      </x:c>
      <x:c r="C550" s="22" t="str">
        <x:v>Female</x:v>
      </x:c>
      <x:c r="D550" s="22" t="str">
        <x:v>SAD</x:v>
      </x:c>
      <x:c r="E550" s="22" t="n">
        <x:v>10</x:v>
      </x:c>
      <x:c r="F550" s="22" t="n">
        <x:v>84</x:v>
      </x:c>
    </x:row>
    <x:row r="551">
      <x:c r="A551" s="17" t="str">
        <x:v>9-10|Female|SAD|11</x:v>
      </x:c>
      <x:c r="B551" s="21" t="str">
        <x:v>9-10</x:v>
      </x:c>
      <x:c r="C551" s="21" t="str">
        <x:v>Female</x:v>
      </x:c>
      <x:c r="D551" s="21" t="str">
        <x:v>SAD</x:v>
      </x:c>
      <x:c r="E551" s="21" t="n">
        <x:v>11</x:v>
      </x:c>
      <x:c r="F551" s="21" t="n">
        <x:v>89</x:v>
      </x:c>
    </x:row>
    <x:row r="552">
      <x:c r="A552" s="20" t="str">
        <x:v>9-10|Female|SAD|12</x:v>
      </x:c>
      <x:c r="B552" s="22" t="str">
        <x:v>9-10</x:v>
      </x:c>
      <x:c r="C552" s="22" t="str">
        <x:v>Female</x:v>
      </x:c>
      <x:c r="D552" s="22" t="str">
        <x:v>SAD</x:v>
      </x:c>
      <x:c r="E552" s="22" t="n">
        <x:v>12</x:v>
      </x:c>
      <x:c r="F552" s="22" t="n">
        <x:v>93</x:v>
      </x:c>
    </x:row>
    <x:row r="553">
      <x:c r="A553" s="17" t="str">
        <x:v>9-10|Female|SAD|13</x:v>
      </x:c>
      <x:c r="B553" s="21" t="str">
        <x:v>9-10</x:v>
      </x:c>
      <x:c r="C553" s="21" t="str">
        <x:v>Female</x:v>
      </x:c>
      <x:c r="D553" s="21" t="str">
        <x:v>SAD</x:v>
      </x:c>
      <x:c r="E553" s="21" t="n">
        <x:v>13</x:v>
      </x:c>
      <x:c r="F553" s="21" t="n">
        <x:v>98</x:v>
      </x:c>
    </x:row>
    <x:row r="554">
      <x:c r="A554" s="20" t="str">
        <x:v>9-10|Female|SAD|14</x:v>
      </x:c>
      <x:c r="B554" s="22" t="str">
        <x:v>9-10</x:v>
      </x:c>
      <x:c r="C554" s="22" t="str">
        <x:v>Female</x:v>
      </x:c>
      <x:c r="D554" s="22" t="str">
        <x:v>SAD</x:v>
      </x:c>
      <x:c r="E554" s="22" t="n">
        <x:v>14</x:v>
      </x:c>
      <x:c r="F554" s="22" t="n">
        <x:v>102</x:v>
      </x:c>
    </x:row>
    <x:row r="555">
      <x:c r="A555" s="17" t="str">
        <x:v>9-10|Female|SAD|15</x:v>
      </x:c>
      <x:c r="B555" s="21" t="str">
        <x:v>9-10</x:v>
      </x:c>
      <x:c r="C555" s="21" t="str">
        <x:v>Female</x:v>
      </x:c>
      <x:c r="D555" s="21" t="str">
        <x:v>SAD</x:v>
      </x:c>
      <x:c r="E555" s="21" t="n">
        <x:v>15</x:v>
      </x:c>
      <x:c r="F555" s="21" t="n">
        <x:v>107</x:v>
      </x:c>
    </x:row>
    <x:row r="556">
      <x:c r="A556" s="20" t="str">
        <x:v>9-10|Female|SAD|16</x:v>
      </x:c>
      <x:c r="B556" s="22" t="str">
        <x:v>9-10</x:v>
      </x:c>
      <x:c r="C556" s="22" t="str">
        <x:v>Female</x:v>
      </x:c>
      <x:c r="D556" s="22" t="str">
        <x:v>SAD</x:v>
      </x:c>
      <x:c r="E556" s="22" t="n">
        <x:v>16</x:v>
      </x:c>
      <x:c r="F556" s="22" t="n">
        <x:v>111</x:v>
      </x:c>
    </x:row>
    <x:row r="557">
      <x:c r="A557" s="17" t="str">
        <x:v>9-10|Female|SAD|17</x:v>
      </x:c>
      <x:c r="B557" s="21" t="str">
        <x:v>9-10</x:v>
      </x:c>
      <x:c r="C557" s="21" t="str">
        <x:v>Female</x:v>
      </x:c>
      <x:c r="D557" s="21" t="str">
        <x:v>SAD</x:v>
      </x:c>
      <x:c r="E557" s="21" t="n">
        <x:v>17</x:v>
      </x:c>
      <x:c r="F557" s="21" t="n">
        <x:v>116</x:v>
      </x:c>
    </x:row>
    <x:row r="558">
      <x:c r="A558" s="20" t="str">
        <x:v>9-10|Female|SAD|18</x:v>
      </x:c>
      <x:c r="B558" s="22" t="str">
        <x:v>9-10</x:v>
      </x:c>
      <x:c r="C558" s="22" t="str">
        <x:v>Female</x:v>
      </x:c>
      <x:c r="D558" s="22" t="str">
        <x:v>SAD</x:v>
      </x:c>
      <x:c r="E558" s="22" t="n">
        <x:v>18</x:v>
      </x:c>
      <x:c r="F558" s="22" t="n">
        <x:v>120</x:v>
      </x:c>
    </x:row>
    <x:row r="559">
      <x:c r="A559" s="17" t="str">
        <x:v>9-10|Female|SAD|19</x:v>
      </x:c>
      <x:c r="B559" s="21" t="str">
        <x:v>9-10</x:v>
      </x:c>
      <x:c r="C559" s="21" t="str">
        <x:v>Female</x:v>
      </x:c>
      <x:c r="D559" s="21" t="str">
        <x:v>SAD</x:v>
      </x:c>
      <x:c r="E559" s="21" t="n">
        <x:v>19</x:v>
      </x:c>
      <x:c r="F559" s="21" t="n">
        <x:v>125</x:v>
      </x:c>
    </x:row>
    <x:row r="560">
      <x:c r="A560" s="20" t="str">
        <x:v>9-10|Female|SAD|20</x:v>
      </x:c>
      <x:c r="B560" s="22" t="str">
        <x:v>9-10</x:v>
      </x:c>
      <x:c r="C560" s="22" t="str">
        <x:v>Female</x:v>
      </x:c>
      <x:c r="D560" s="22" t="str">
        <x:v>SAD</x:v>
      </x:c>
      <x:c r="E560" s="22" t="n">
        <x:v>20</x:v>
      </x:c>
      <x:c r="F560" s="22" t="n">
        <x:v>129</x:v>
      </x:c>
    </x:row>
    <x:row r="561">
      <x:c r="A561" s="17" t="str">
        <x:v>9-10|Female|SAD|21</x:v>
      </x:c>
      <x:c r="B561" s="21" t="str">
        <x:v>9-10</x:v>
      </x:c>
      <x:c r="C561" s="21" t="str">
        <x:v>Female</x:v>
      </x:c>
      <x:c r="D561" s="21" t="str">
        <x:v>SAD</x:v>
      </x:c>
      <x:c r="E561" s="21" t="n">
        <x:v>21</x:v>
      </x:c>
      <x:c r="F561" s="21" t="n">
        <x:v>134</x:v>
      </x:c>
    </x:row>
    <x:row r="562">
      <x:c r="A562" s="20" t="str">
        <x:v>9-10|Female|SP|0</x:v>
      </x:c>
      <x:c r="B562" s="22" t="str">
        <x:v>9-10</x:v>
      </x:c>
      <x:c r="C562" s="22" t="str">
        <x:v>Female</x:v>
      </x:c>
      <x:c r="D562" s="22" t="str">
        <x:v>SP</x:v>
      </x:c>
      <x:c r="E562" s="22" t="n">
        <x:v>0</x:v>
      </x:c>
      <x:c r="F562" s="22" t="n">
        <x:v>25</x:v>
      </x:c>
    </x:row>
    <x:row r="563">
      <x:c r="A563" s="17" t="str">
        <x:v>9-10|Female|SP|1</x:v>
      </x:c>
      <x:c r="B563" s="21" t="str">
        <x:v>9-10</x:v>
      </x:c>
      <x:c r="C563" s="21" t="str">
        <x:v>Female</x:v>
      </x:c>
      <x:c r="D563" s="21" t="str">
        <x:v>SP</x:v>
      </x:c>
      <x:c r="E563" s="21" t="n">
        <x:v>1</x:v>
      </x:c>
      <x:c r="F563" s="21" t="n">
        <x:v>27</x:v>
      </x:c>
    </x:row>
    <x:row r="564">
      <x:c r="A564" s="20" t="str">
        <x:v>9-10|Female|SP|2</x:v>
      </x:c>
      <x:c r="B564" s="22" t="str">
        <x:v>9-10</x:v>
      </x:c>
      <x:c r="C564" s="22" t="str">
        <x:v>Female</x:v>
      </x:c>
      <x:c r="D564" s="22" t="str">
        <x:v>SP</x:v>
      </x:c>
      <x:c r="E564" s="22" t="n">
        <x:v>2</x:v>
      </x:c>
      <x:c r="F564" s="22" t="n">
        <x:v>29</x:v>
      </x:c>
    </x:row>
    <x:row r="565">
      <x:c r="A565" s="17" t="str">
        <x:v>9-10|Female|SP|3</x:v>
      </x:c>
      <x:c r="B565" s="21" t="str">
        <x:v>9-10</x:v>
      </x:c>
      <x:c r="C565" s="21" t="str">
        <x:v>Female</x:v>
      </x:c>
      <x:c r="D565" s="21" t="str">
        <x:v>SP</x:v>
      </x:c>
      <x:c r="E565" s="21" t="n">
        <x:v>3</x:v>
      </x:c>
      <x:c r="F565" s="21" t="n">
        <x:v>31</x:v>
      </x:c>
    </x:row>
    <x:row r="566">
      <x:c r="A566" s="20" t="str">
        <x:v>9-10|Female|SP|4</x:v>
      </x:c>
      <x:c r="B566" s="22" t="str">
        <x:v>9-10</x:v>
      </x:c>
      <x:c r="C566" s="22" t="str">
        <x:v>Female</x:v>
      </x:c>
      <x:c r="D566" s="22" t="str">
        <x:v>SP</x:v>
      </x:c>
      <x:c r="E566" s="22" t="n">
        <x:v>4</x:v>
      </x:c>
      <x:c r="F566" s="22" t="n">
        <x:v>33</x:v>
      </x:c>
    </x:row>
    <x:row r="567">
      <x:c r="A567" s="17" t="str">
        <x:v>9-10|Female|SP|5</x:v>
      </x:c>
      <x:c r="B567" s="21" t="str">
        <x:v>9-10</x:v>
      </x:c>
      <x:c r="C567" s="21" t="str">
        <x:v>Female</x:v>
      </x:c>
      <x:c r="D567" s="21" t="str">
        <x:v>SP</x:v>
      </x:c>
      <x:c r="E567" s="21" t="n">
        <x:v>5</x:v>
      </x:c>
      <x:c r="F567" s="21" t="n">
        <x:v>35</x:v>
      </x:c>
    </x:row>
    <x:row r="568">
      <x:c r="A568" s="20" t="str">
        <x:v>9-10|Female|SP|6</x:v>
      </x:c>
      <x:c r="B568" s="22" t="str">
        <x:v>9-10</x:v>
      </x:c>
      <x:c r="C568" s="22" t="str">
        <x:v>Female</x:v>
      </x:c>
      <x:c r="D568" s="22" t="str">
        <x:v>SP</x:v>
      </x:c>
      <x:c r="E568" s="22" t="n">
        <x:v>6</x:v>
      </x:c>
      <x:c r="F568" s="22" t="n">
        <x:v>37</x:v>
      </x:c>
    </x:row>
    <x:row r="569">
      <x:c r="A569" s="17" t="str">
        <x:v>9-10|Female|SP|7</x:v>
      </x:c>
      <x:c r="B569" s="21" t="str">
        <x:v>9-10</x:v>
      </x:c>
      <x:c r="C569" s="21" t="str">
        <x:v>Female</x:v>
      </x:c>
      <x:c r="D569" s="21" t="str">
        <x:v>SP</x:v>
      </x:c>
      <x:c r="E569" s="21" t="n">
        <x:v>7</x:v>
      </x:c>
      <x:c r="F569" s="21" t="n">
        <x:v>39</x:v>
      </x:c>
    </x:row>
    <x:row r="570">
      <x:c r="A570" s="20" t="str">
        <x:v>9-10|Female|SP|8</x:v>
      </x:c>
      <x:c r="B570" s="22" t="str">
        <x:v>9-10</x:v>
      </x:c>
      <x:c r="C570" s="22" t="str">
        <x:v>Female</x:v>
      </x:c>
      <x:c r="D570" s="22" t="str">
        <x:v>SP</x:v>
      </x:c>
      <x:c r="E570" s="22" t="n">
        <x:v>8</x:v>
      </x:c>
      <x:c r="F570" s="22" t="n">
        <x:v>41</x:v>
      </x:c>
    </x:row>
    <x:row r="571">
      <x:c r="A571" s="17" t="str">
        <x:v>9-10|Female|SP|9</x:v>
      </x:c>
      <x:c r="B571" s="21" t="str">
        <x:v>9-10</x:v>
      </x:c>
      <x:c r="C571" s="21" t="str">
        <x:v>Female</x:v>
      </x:c>
      <x:c r="D571" s="21" t="str">
        <x:v>SP</x:v>
      </x:c>
      <x:c r="E571" s="21" t="n">
        <x:v>9</x:v>
      </x:c>
      <x:c r="F571" s="21" t="n">
        <x:v>43</x:v>
      </x:c>
    </x:row>
    <x:row r="572">
      <x:c r="A572" s="20" t="str">
        <x:v>9-10|Female|SP|10</x:v>
      </x:c>
      <x:c r="B572" s="22" t="str">
        <x:v>9-10</x:v>
      </x:c>
      <x:c r="C572" s="22" t="str">
        <x:v>Female</x:v>
      </x:c>
      <x:c r="D572" s="22" t="str">
        <x:v>SP</x:v>
      </x:c>
      <x:c r="E572" s="22" t="n">
        <x:v>10</x:v>
      </x:c>
      <x:c r="F572" s="22" t="n">
        <x:v>45</x:v>
      </x:c>
    </x:row>
    <x:row r="573">
      <x:c r="A573" s="17" t="str">
        <x:v>9-10|Female|SP|11</x:v>
      </x:c>
      <x:c r="B573" s="21" t="str">
        <x:v>9-10</x:v>
      </x:c>
      <x:c r="C573" s="21" t="str">
        <x:v>Female</x:v>
      </x:c>
      <x:c r="D573" s="21" t="str">
        <x:v>SP</x:v>
      </x:c>
      <x:c r="E573" s="21" t="n">
        <x:v>11</x:v>
      </x:c>
      <x:c r="F573" s="21" t="n">
        <x:v>47</x:v>
      </x:c>
    </x:row>
    <x:row r="574">
      <x:c r="A574" s="20" t="str">
        <x:v>9-10|Female|SP|12</x:v>
      </x:c>
      <x:c r="B574" s="22" t="str">
        <x:v>9-10</x:v>
      </x:c>
      <x:c r="C574" s="22" t="str">
        <x:v>Female</x:v>
      </x:c>
      <x:c r="D574" s="22" t="str">
        <x:v>SP</x:v>
      </x:c>
      <x:c r="E574" s="22" t="n">
        <x:v>12</x:v>
      </x:c>
      <x:c r="F574" s="22" t="n">
        <x:v>49</x:v>
      </x:c>
    </x:row>
    <x:row r="575">
      <x:c r="A575" s="17" t="str">
        <x:v>9-10|Female|SP|13</x:v>
      </x:c>
      <x:c r="B575" s="21" t="str">
        <x:v>9-10</x:v>
      </x:c>
      <x:c r="C575" s="21" t="str">
        <x:v>Female</x:v>
      </x:c>
      <x:c r="D575" s="21" t="str">
        <x:v>SP</x:v>
      </x:c>
      <x:c r="E575" s="21" t="n">
        <x:v>13</x:v>
      </x:c>
      <x:c r="F575" s="21" t="n">
        <x:v>51</x:v>
      </x:c>
    </x:row>
    <x:row r="576">
      <x:c r="A576" s="20" t="str">
        <x:v>9-10|Female|SP|14</x:v>
      </x:c>
      <x:c r="B576" s="22" t="str">
        <x:v>9-10</x:v>
      </x:c>
      <x:c r="C576" s="22" t="str">
        <x:v>Female</x:v>
      </x:c>
      <x:c r="D576" s="22" t="str">
        <x:v>SP</x:v>
      </x:c>
      <x:c r="E576" s="22" t="n">
        <x:v>14</x:v>
      </x:c>
      <x:c r="F576" s="22" t="n">
        <x:v>53</x:v>
      </x:c>
    </x:row>
    <x:row r="577">
      <x:c r="A577" s="17" t="str">
        <x:v>9-10|Female|SP|15</x:v>
      </x:c>
      <x:c r="B577" s="21" t="str">
        <x:v>9-10</x:v>
      </x:c>
      <x:c r="C577" s="21" t="str">
        <x:v>Female</x:v>
      </x:c>
      <x:c r="D577" s="21" t="str">
        <x:v>SP</x:v>
      </x:c>
      <x:c r="E577" s="21" t="n">
        <x:v>15</x:v>
      </x:c>
      <x:c r="F577" s="21" t="n">
        <x:v>55</x:v>
      </x:c>
    </x:row>
    <x:row r="578">
      <x:c r="A578" s="20" t="str">
        <x:v>9-10|Female|SP|16</x:v>
      </x:c>
      <x:c r="B578" s="22" t="str">
        <x:v>9-10</x:v>
      </x:c>
      <x:c r="C578" s="22" t="str">
        <x:v>Female</x:v>
      </x:c>
      <x:c r="D578" s="22" t="str">
        <x:v>SP</x:v>
      </x:c>
      <x:c r="E578" s="22" t="n">
        <x:v>16</x:v>
      </x:c>
      <x:c r="F578" s="22" t="n">
        <x:v>57</x:v>
      </x:c>
    </x:row>
    <x:row r="579">
      <x:c r="A579" s="17" t="str">
        <x:v>9-10|Female|SP|17</x:v>
      </x:c>
      <x:c r="B579" s="21" t="str">
        <x:v>9-10</x:v>
      </x:c>
      <x:c r="C579" s="21" t="str">
        <x:v>Female</x:v>
      </x:c>
      <x:c r="D579" s="21" t="str">
        <x:v>SP</x:v>
      </x:c>
      <x:c r="E579" s="21" t="n">
        <x:v>17</x:v>
      </x:c>
      <x:c r="F579" s="21" t="n">
        <x:v>59</x:v>
      </x:c>
    </x:row>
    <x:row r="580">
      <x:c r="A580" s="20" t="str">
        <x:v>9-10|Female|SP|18</x:v>
      </x:c>
      <x:c r="B580" s="22" t="str">
        <x:v>9-10</x:v>
      </x:c>
      <x:c r="C580" s="22" t="str">
        <x:v>Female</x:v>
      </x:c>
      <x:c r="D580" s="22" t="str">
        <x:v>SP</x:v>
      </x:c>
      <x:c r="E580" s="22" t="n">
        <x:v>18</x:v>
      </x:c>
      <x:c r="F580" s="22" t="n">
        <x:v>61</x:v>
      </x:c>
    </x:row>
    <x:row r="581">
      <x:c r="A581" s="17" t="str">
        <x:v>9-10|Female|SP|19</x:v>
      </x:c>
      <x:c r="B581" s="21" t="str">
        <x:v>9-10</x:v>
      </x:c>
      <x:c r="C581" s="21" t="str">
        <x:v>Female</x:v>
      </x:c>
      <x:c r="D581" s="21" t="str">
        <x:v>SP</x:v>
      </x:c>
      <x:c r="E581" s="21" t="n">
        <x:v>19</x:v>
      </x:c>
      <x:c r="F581" s="21" t="n">
        <x:v>63</x:v>
      </x:c>
    </x:row>
    <x:row r="582">
      <x:c r="A582" s="20" t="str">
        <x:v>9-10|Female|SP|20</x:v>
      </x:c>
      <x:c r="B582" s="22" t="str">
        <x:v>9-10</x:v>
      </x:c>
      <x:c r="C582" s="22" t="str">
        <x:v>Female</x:v>
      </x:c>
      <x:c r="D582" s="22" t="str">
        <x:v>SP</x:v>
      </x:c>
      <x:c r="E582" s="22" t="n">
        <x:v>20</x:v>
      </x:c>
      <x:c r="F582" s="22" t="n">
        <x:v>65</x:v>
      </x:c>
    </x:row>
    <x:row r="583">
      <x:c r="A583" s="17" t="str">
        <x:v>9-10|Female|SP|21</x:v>
      </x:c>
      <x:c r="B583" s="21" t="str">
        <x:v>9-10</x:v>
      </x:c>
      <x:c r="C583" s="21" t="str">
        <x:v>Female</x:v>
      </x:c>
      <x:c r="D583" s="21" t="str">
        <x:v>SP</x:v>
      </x:c>
      <x:c r="E583" s="21" t="n">
        <x:v>21</x:v>
      </x:c>
      <x:c r="F583" s="21" t="n">
        <x:v>67</x:v>
      </x:c>
    </x:row>
    <x:row r="584">
      <x:c r="A584" s="20" t="str">
        <x:v>9-10|Female|SP|22</x:v>
      </x:c>
      <x:c r="B584" s="22" t="str">
        <x:v>9-10</x:v>
      </x:c>
      <x:c r="C584" s="22" t="str">
        <x:v>Female</x:v>
      </x:c>
      <x:c r="D584" s="22" t="str">
        <x:v>SP</x:v>
      </x:c>
      <x:c r="E584" s="22" t="n">
        <x:v>22</x:v>
      </x:c>
      <x:c r="F584" s="22" t="n">
        <x:v>69</x:v>
      </x:c>
    </x:row>
    <x:row r="585">
      <x:c r="A585" s="17" t="str">
        <x:v>9-10|Female|SP|23</x:v>
      </x:c>
      <x:c r="B585" s="21" t="str">
        <x:v>9-10</x:v>
      </x:c>
      <x:c r="C585" s="21" t="str">
        <x:v>Female</x:v>
      </x:c>
      <x:c r="D585" s="21" t="str">
        <x:v>SP</x:v>
      </x:c>
      <x:c r="E585" s="21" t="n">
        <x:v>23</x:v>
      </x:c>
      <x:c r="F585" s="21" t="n">
        <x:v>71</x:v>
      </x:c>
    </x:row>
    <x:row r="586">
      <x:c r="A586" s="20" t="str">
        <x:v>9-10|Female|SP|24</x:v>
      </x:c>
      <x:c r="B586" s="22" t="str">
        <x:v>9-10</x:v>
      </x:c>
      <x:c r="C586" s="22" t="str">
        <x:v>Female</x:v>
      </x:c>
      <x:c r="D586" s="22" t="str">
        <x:v>SP</x:v>
      </x:c>
      <x:c r="E586" s="22" t="n">
        <x:v>24</x:v>
      </x:c>
      <x:c r="F586" s="22" t="n">
        <x:v>73</x:v>
      </x:c>
    </x:row>
    <x:row r="587">
      <x:c r="A587" s="17" t="str">
        <x:v>9-10|Female|SP|25</x:v>
      </x:c>
      <x:c r="B587" s="21" t="str">
        <x:v>9-10</x:v>
      </x:c>
      <x:c r="C587" s="21" t="str">
        <x:v>Female</x:v>
      </x:c>
      <x:c r="D587" s="21" t="str">
        <x:v>SP</x:v>
      </x:c>
      <x:c r="E587" s="21" t="n">
        <x:v>25</x:v>
      </x:c>
      <x:c r="F587" s="21" t="n">
        <x:v>75</x:v>
      </x:c>
    </x:row>
    <x:row r="588">
      <x:c r="A588" s="20" t="str">
        <x:v>9-10|Female|SP|26</x:v>
      </x:c>
      <x:c r="B588" s="22" t="str">
        <x:v>9-10</x:v>
      </x:c>
      <x:c r="C588" s="22" t="str">
        <x:v>Female</x:v>
      </x:c>
      <x:c r="D588" s="22" t="str">
        <x:v>SP</x:v>
      </x:c>
      <x:c r="E588" s="22" t="n">
        <x:v>26</x:v>
      </x:c>
      <x:c r="F588" s="22" t="n">
        <x:v>77</x:v>
      </x:c>
    </x:row>
    <x:row r="589">
      <x:c r="A589" s="17" t="str">
        <x:v>9-10|Female|SP|27</x:v>
      </x:c>
      <x:c r="B589" s="21" t="str">
        <x:v>9-10</x:v>
      </x:c>
      <x:c r="C589" s="21" t="str">
        <x:v>Female</x:v>
      </x:c>
      <x:c r="D589" s="21" t="str">
        <x:v>SP</x:v>
      </x:c>
      <x:c r="E589" s="21" t="n">
        <x:v>27</x:v>
      </x:c>
      <x:c r="F589" s="21" t="n">
        <x:v>79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78" hidden="0" customWidth="1"/>
  </x:cols>
  <x:sheetData>
    <x:row r="1" ht="30" customHeight="1">
      <x:c r="A1" s="4" t="str">
        <x:v>Source and Scoring Quality Checks</x:v>
      </x:c>
      <x:c r="B1" s="4" t="str">
        <x:v>Source and Scoring Quality Checks</x:v>
      </x:c>
      <x:c r="C1" s="4" t="str">
        <x:v>Source and Scoring Quality Checks</x:v>
      </x:c>
    </x:row>
    <x:row r="3">
      <x:c r="A3" s="14" t="str">
        <x:v>Check</x:v>
      </x:c>
      <x:c r="B3" s="14" t="str">
        <x:v>Result</x:v>
      </x:c>
      <x:c r="C3" s="14" t="str">
        <x:v>Details</x:v>
      </x:c>
    </x:row>
    <x:row r="4">
      <x:c r="A4" s="51" t="str">
        <x:v>RCADS records</x:v>
      </x:c>
      <x:c r="B4" s="48" t="n">
        <x:v>40</x:v>
      </x:c>
      <x:c r="C4" s="48" t="str">
        <x:v>All responses marked 100% complete by Qualtrics</x:v>
      </x:c>
    </x:row>
    <x:row r="5">
      <x:c r="A5" s="52" t="str">
        <x:v>Unique RCADS PIDs</x:v>
      </x:c>
      <x:c r="B5" s="49" t="n">
        <x:v>40</x:v>
      </x:c>
      <x:c r="C5" s="49" t="str">
        <x:v>P1 through P40; no duplicates</x:v>
      </x:c>
    </x:row>
    <x:row r="6">
      <x:c r="A6" s="51" t="str">
        <x:v>DSM-5 records</x:v>
      </x:c>
      <x:c r="B6" s="48" t="n">
        <x:v>40</x:v>
      </x:c>
      <x:c r="C6" s="48" t="str">
        <x:v>Used for PID coverage cross-check only</x:v>
      </x:c>
    </x:row>
    <x:row r="7">
      <x:c r="A7" s="52" t="str">
        <x:v>RCADS/DSM PID sets</x:v>
      </x:c>
      <x:c r="B7" s="49" t="str">
        <x:v>Match</x:v>
      </x:c>
      <x:c r="C7" s="49" t="str">
        <x:v>The two exports contain the same participant IDs</x:v>
      </x:c>
    </x:row>
    <x:row r="8">
      <x:c r="A8" s="51" t="str">
        <x:v>Invalid RCADS response labels</x:v>
      </x:c>
      <x:c r="B8" s="48" t="n">
        <x:v>0</x:v>
      </x:c>
      <x:c r="C8" s="48" t="str">
        <x:v>Allowed labels: Never, Sometimes, Often, Always</x:v>
      </x:c>
    </x:row>
    <x:row r="9">
      <x:c r="A9" s="52" t="str">
        <x:v>Missing RCADS items</x:v>
      </x:c>
      <x:c r="B9" s="49" t="n">
        <x:v>1</x:v>
      </x:c>
      <x:c r="C9" s="49" t="str">
        <x:v>P38 omitted one OCD item; the OCD raw score was prorated under UCLA rules</x:v>
      </x:c>
    </x:row>
    <x:row r="10">
      <x:c r="A10" s="51" t="str">
        <x:v>Missing demographics</x:v>
      </x:c>
      <x:c r="B10" s="48" t="str">
        <x:v>P38</x:v>
      </x:c>
      <x:c r="C10" s="48" t="str">
        <x:v>P38 has raw scores but no T-scores</x:v>
      </x:c>
    </x:row>
    <x:row r="11">
      <x:c r="A11" s="52" t="str">
        <x:v>P12 sex correction</x:v>
      </x:c>
      <x:c r="B11" s="49" t="str">
        <x:v>Applied</x:v>
      </x:c>
      <x:c r="C11" s="49" t="str">
        <x:v>Investigator confirmed male</x:v>
      </x:c>
    </x:row>
    <x:row r="12">
      <x:c r="A12" s="51" t="str">
        <x:v>Grade estimation</x:v>
      </x:c>
      <x:c r="B12" s="48" t="str">
        <x:v>Age − 6</x:v>
      </x:c>
      <x:c r="C12" s="48" t="str">
        <x:v>Age 13–14 uses grades 7–8 norms; age 15 uses grades 9–10 norms</x:v>
      </x:c>
    </x:row>
    <x:row r="13">
      <x:c r="A13" s="53" t="str">
        <x:v>Interpretation</x:v>
      </x:c>
      <x:c r="B13" s="50" t="str">
        <x:v>Screening only</x:v>
      </x:c>
      <x:c r="C13" s="50" t="str">
        <x:v>RCADS scores do not establish a diagnosis</x:v>
      </x:c>
    </x:row>
  </x:sheetData>
  <x:mergeCells>
    <x:mergeCell ref="A1:C1"/>
  </x:mergeCells>
  <x:pageMargins left="0.7" right="0.7" top="0.75" bottom="0.75" header="0.3" footer="0.3"/>
</x:worksheet>
</file>